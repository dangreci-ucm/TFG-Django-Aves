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ir datos" sheetId="1" r:id="rId4"/>
    <sheet state="visible" name="Formulas" sheetId="2" r:id="rId5"/>
    <sheet state="visible" name="Base de datos" sheetId="3" r:id="rId6"/>
  </sheets>
  <definedNames>
    <definedName hidden="1" localSheetId="2" name="_xlnm._FilterDatabase">'Base de datos'!$B$1:$B$852</definedName>
  </definedNames>
  <calcPr/>
  <extLst>
    <ext uri="GoogleSheetsCustomDataVersion2">
      <go:sheetsCustomData xmlns:go="http://customooxmlschemas.google.com/" r:id="rId7" roundtripDataChecksum="32ke7N+mVp5xKsZ8rgDAIsQMr95ALb2IUEYn+7CGyZ4="/>
    </ext>
  </extLst>
</workbook>
</file>

<file path=xl/sharedStrings.xml><?xml version="1.0" encoding="utf-8"?>
<sst xmlns="http://schemas.openxmlformats.org/spreadsheetml/2006/main" count="1387" uniqueCount="70">
  <si>
    <t>coxalL</t>
  </si>
  <si>
    <t>coxalA</t>
  </si>
  <si>
    <t>esternon</t>
  </si>
  <si>
    <t>femur</t>
  </si>
  <si>
    <t>tibiotarso</t>
  </si>
  <si>
    <t>tarsometatarso</t>
  </si>
  <si>
    <t>Craneo a</t>
  </si>
  <si>
    <t>Craneo l</t>
  </si>
  <si>
    <t>humero</t>
  </si>
  <si>
    <t>cubito</t>
  </si>
  <si>
    <t>radio</t>
  </si>
  <si>
    <t>Introducir datos</t>
  </si>
  <si>
    <t>Escribir solo en lo verde</t>
  </si>
  <si>
    <t>Importante</t>
  </si>
  <si>
    <t>Posibles especies</t>
  </si>
  <si>
    <t>Abejero</t>
  </si>
  <si>
    <t>Alcotán</t>
  </si>
  <si>
    <t>Alimoche</t>
  </si>
  <si>
    <t>Azor</t>
  </si>
  <si>
    <t>B.Leonado</t>
  </si>
  <si>
    <t>Buho real</t>
  </si>
  <si>
    <t>Buitre negro</t>
  </si>
  <si>
    <t>Calzada</t>
  </si>
  <si>
    <t>C. Primilla</t>
  </si>
  <si>
    <t>C. Vulgar</t>
  </si>
  <si>
    <t>Circus Aeroginosus</t>
  </si>
  <si>
    <t>Circus cyaneus</t>
  </si>
  <si>
    <t>Circus pygargus</t>
  </si>
  <si>
    <t>Culebrera</t>
  </si>
  <si>
    <t>Elanus caerulus</t>
  </si>
  <si>
    <t>Falco columbarius</t>
  </si>
  <si>
    <t>Falco peregrinus</t>
  </si>
  <si>
    <t>Gavilán</t>
  </si>
  <si>
    <t>Imperial</t>
  </si>
  <si>
    <t>Milano negro</t>
  </si>
  <si>
    <t>Milano real</t>
  </si>
  <si>
    <t>Perdicera</t>
  </si>
  <si>
    <t>Pescadora</t>
  </si>
  <si>
    <t>Quebranta</t>
  </si>
  <si>
    <t>Ratonero</t>
  </si>
  <si>
    <t>Real</t>
  </si>
  <si>
    <t>Media</t>
  </si>
  <si>
    <t>Desv Típica</t>
  </si>
  <si>
    <t>Probabilidad-</t>
  </si>
  <si>
    <t>Probabilidad+</t>
  </si>
  <si>
    <t>Prob def</t>
  </si>
  <si>
    <t>Si no</t>
  </si>
  <si>
    <t>IDENT</t>
  </si>
  <si>
    <t>Especie</t>
  </si>
  <si>
    <t>craneoancho</t>
  </si>
  <si>
    <t>craneolongitud</t>
  </si>
  <si>
    <t>Halcón Abejero</t>
  </si>
  <si>
    <t>Buitre Leonado</t>
  </si>
  <si>
    <t>Búho Real</t>
  </si>
  <si>
    <t>Águila Calzada</t>
  </si>
  <si>
    <t>Cernícalo primilla</t>
  </si>
  <si>
    <t>Cernícalo vulgar</t>
  </si>
  <si>
    <t>Aguilucho Langunero</t>
  </si>
  <si>
    <t>Aguilucho Pálido</t>
  </si>
  <si>
    <t>Aguilucho Cenizo</t>
  </si>
  <si>
    <t>Águila Culebrera</t>
  </si>
  <si>
    <t>Halcón Peregrino</t>
  </si>
  <si>
    <t>Águila Imperial</t>
  </si>
  <si>
    <t>Milano Negro</t>
  </si>
  <si>
    <t>Milano Real</t>
  </si>
  <si>
    <t>Águila Perdicera</t>
  </si>
  <si>
    <t>Águila Pescadora</t>
  </si>
  <si>
    <t>Quebrantahuesos</t>
  </si>
  <si>
    <t>Ratonero Común</t>
  </si>
  <si>
    <t>Águila 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</si>
</sst>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0.0"/>
      <color rgb="FF000000"/>
      <name val="Arial"/>
    </font>
    <font>
      <i/>
      <sz val="11.0"/>
      <color rgb="FF00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2" fontId="1" numFmtId="0" xfId="0" applyBorder="1" applyFill="1" applyFont="1"/>
    <xf borderId="1" fillId="3" fontId="1" numFmtId="2" xfId="0" applyBorder="1" applyFill="1" applyFont="1" applyNumberFormat="1"/>
    <xf borderId="1" fillId="3" fontId="1" numFmtId="164" xfId="0" applyBorder="1" applyFont="1" applyNumberFormat="1"/>
    <xf borderId="1" fillId="4" fontId="1" numFmtId="164" xfId="0" applyBorder="1" applyFill="1" applyFont="1" applyNumberFormat="1"/>
    <xf borderId="0" fillId="0" fontId="2" numFmtId="0" xfId="0" applyFont="1"/>
    <xf borderId="0" fillId="0" fontId="3" numFmtId="0" xfId="0" applyFont="1"/>
    <xf borderId="0" fillId="0" fontId="1" numFmtId="2" xfId="0" applyFont="1" applyNumberFormat="1"/>
    <xf borderId="0" fillId="0" fontId="1" numFmtId="0" xfId="0" applyFont="1"/>
    <xf borderId="1" fillId="0" fontId="4" numFmtId="0" xfId="0" applyAlignment="1" applyBorder="1" applyFont="1">
      <alignment shrinkToFit="0" vertical="top" wrapText="1"/>
    </xf>
    <xf borderId="1" fillId="0" fontId="1" numFmtId="0" xfId="0" applyAlignment="1" applyBorder="1" applyFont="1">
      <alignment vertical="top"/>
    </xf>
    <xf borderId="0" fillId="0" fontId="5" numFmtId="0" xfId="0" applyFont="1"/>
    <xf borderId="0" fillId="0" fontId="1" numFmtId="164" xfId="0" applyFont="1" applyNumberFormat="1"/>
    <xf borderId="0" fillId="0" fontId="1" numFmtId="1" xfId="0" applyFont="1" applyNumberFormat="1"/>
    <xf borderId="2" fillId="2" fontId="1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6" width="10.71"/>
    <col customWidth="1" min="7" max="7" width="14.43"/>
    <col customWidth="1" min="8" max="15" width="10.71"/>
    <col customWidth="1" hidden="1" min="16" max="16" width="10.71"/>
    <col customWidth="1" min="17" max="26" width="10.71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ht="14.25" customHeight="1">
      <c r="A2" s="3" t="s">
        <v>11</v>
      </c>
      <c r="B2" s="4"/>
      <c r="C2" s="5"/>
      <c r="D2" s="5"/>
      <c r="E2" s="6"/>
      <c r="F2" s="5"/>
      <c r="G2" s="6"/>
      <c r="H2" s="5"/>
      <c r="I2" s="4"/>
      <c r="J2" s="5"/>
      <c r="K2" s="6"/>
      <c r="L2" s="5"/>
      <c r="M2" s="7" t="s">
        <v>12</v>
      </c>
      <c r="N2" s="8"/>
      <c r="P2" s="9">
        <f>SUM(B2:L2)</f>
        <v>0</v>
      </c>
    </row>
    <row r="3" ht="14.25" customHeight="1">
      <c r="A3" s="1"/>
      <c r="B3" s="1"/>
      <c r="C3" s="1"/>
      <c r="D3" s="1"/>
      <c r="E3" s="1" t="s">
        <v>13</v>
      </c>
      <c r="F3" s="1"/>
      <c r="G3" s="1" t="s">
        <v>13</v>
      </c>
      <c r="H3" s="1"/>
      <c r="I3" s="1"/>
      <c r="J3" s="1"/>
      <c r="K3" s="1" t="s">
        <v>13</v>
      </c>
      <c r="L3" s="1"/>
      <c r="N3" s="10"/>
    </row>
    <row r="4" ht="14.25" customHeight="1">
      <c r="A4" s="11" t="s">
        <v>14</v>
      </c>
      <c r="N4" s="10"/>
    </row>
    <row r="5" ht="57.75" customHeight="1">
      <c r="A5" s="12" t="str">
        <f>IF(P2=0,"",IFERROR(IF(Formulas!P10=0,,"Abejero: "&amp;(TEXT(Formulas!P10,"0,0%"))&amp;"  ")&amp;IF(Formulas!P18=0,,"Alcotán: "&amp;(TEXT(Formulas!P18,"0,0%"))&amp;"  ")&amp;IF(Formulas!P26=0,,"Alimoche: "&amp;(TEXT(Formulas!P26,"0,0%"))&amp;"  ")&amp;IF(Formulas!P34=0,,"Azor: "&amp;(TEXT(Formulas!P34,"0,0%"))&amp;"  ")&amp;IF(Formulas!P42=0,,"Buitre leonado: "&amp;(TEXT(Formulas!P42,"0,0%"))&amp;"  ")&amp;IF(Formulas!P50=0,,"Búho real: "&amp;(TEXT(Formulas!P50,"0,0%"))&amp;"  ")&amp;IF(Formulas!P58=0,,"Buitre negro: "&amp;(TEXT(Formulas!P58,"0,0%"))&amp;"  ")&amp;IF(Formulas!P66=0,,"Calzada: "&amp;(TEXT(Formulas!P66,"0,0%"))&amp;"  ")&amp;IF(Formulas!P74=0,,"C.Primilla: "&amp;(TEXT(Formulas!P74,"0,0%"))&amp;"  ")&amp;IF(Formulas!P82=0,,"C.Vulgar: "&amp;(TEXT(Formulas!P82,"0,0%"))&amp;"  ")&amp;IF(Formulas!P90=0,,"Circus Aeruginosus: "&amp;(TEXT(Formulas!P90,"0,0%"))&amp;"  ")&amp;IF(Formulas!P98=0,,"Circus Cyaneus: "&amp;(TEXT(Formulas!P98,"0,0%"))&amp;"  ")&amp;IF(Formulas!P106=0,,"Circus Pygargus: "&amp;(TEXT(Formulas!P106,"0,0%"))&amp;"  ")&amp;IF(Formulas!P114=0,,"Culebrera: "&amp;(TEXT(Formulas!P114,"0,0%"))&amp;"  ")&amp;IF(Formulas!P122=0,,"Elanus caerulus: "&amp;(TEXT(Formulas!P122,"0,0%"))&amp;"  ")&amp;IF(Formulas!P130=0,,"Falco columbaris: "&amp;(TEXT(Formulas!P130,"0,0%"))&amp;"  ")&amp;IF(Formulas!P138=0,,"Falco peregrinus: "&amp;(TEXT(Formulas!P138,"0,0%"))&amp;"  ")&amp;IF(Formulas!P146=0,,"Gavilán: "&amp;(TEXT(Formulas!P146,"0,0%"))&amp;"  ")&amp;IF(Formulas!P154=0,,"Imperial: "&amp;(TEXT(Formulas!P154,"0,0%"))&amp;"  ")&amp;IF(Formulas!P162=0,,"Milano negro: "&amp;(TEXT(Formulas!P162,"0,0%"))&amp;"  ")&amp;IF(Formulas!P170=0,,"Milano real: "&amp;(TEXT(Formulas!P170,"0,0%"))&amp;"  ")&amp;IF(Formulas!P178=0,,"Perdicera: "&amp;(TEXT(Formulas!P178,"0,0%"))&amp;"  ")&amp;IF(Formulas!P186=0,,"Pescadora: "&amp;(TEXT(Formulas!P186,"0,0%"))&amp;"  ")&amp;IF(Formulas!P194=0,,"Qebrantahuesos: "&amp;(TEXT(Formulas!P194,"0,0%"))&amp;"  ")&amp;IF(Formulas!P202=0,,"Ratonero: "&amp;(TEXT(Formulas!P202,"0,0%"))&amp;"  ")&amp;IF(Formulas!P210=0,,"Real: "&amp;(TEXT(Formulas!P210,"0,0%"))&amp;"  "),"Las medidas no son compatibles con ninguna especie"))</f>
        <v/>
      </c>
      <c r="N5" s="10"/>
    </row>
    <row r="6" ht="14.25" customHeight="1">
      <c r="N6" s="10"/>
    </row>
    <row r="7" ht="14.25" customHeight="1">
      <c r="N7" s="10"/>
    </row>
    <row r="8" ht="14.25" customHeight="1">
      <c r="N8" s="7" t="s">
        <v>15</v>
      </c>
    </row>
    <row r="9" ht="14.25" customHeight="1">
      <c r="N9" s="7" t="s">
        <v>16</v>
      </c>
    </row>
    <row r="10" ht="14.25" customHeight="1">
      <c r="N10" s="7" t="s">
        <v>17</v>
      </c>
    </row>
    <row r="11" ht="14.25" customHeight="1">
      <c r="N11" s="7" t="s">
        <v>18</v>
      </c>
    </row>
    <row r="12" ht="14.25" customHeight="1">
      <c r="N12" s="7" t="s">
        <v>19</v>
      </c>
    </row>
    <row r="13" ht="14.25" customHeight="1">
      <c r="N13" s="7" t="s">
        <v>20</v>
      </c>
    </row>
    <row r="14" ht="14.25" customHeight="1">
      <c r="N14" s="7" t="s">
        <v>21</v>
      </c>
    </row>
    <row r="15" ht="14.25" customHeight="1">
      <c r="N15" s="7" t="s">
        <v>22</v>
      </c>
    </row>
    <row r="16" ht="14.25" customHeight="1">
      <c r="N16" s="7" t="s">
        <v>23</v>
      </c>
    </row>
    <row r="17" ht="14.25" customHeight="1">
      <c r="N17" s="7" t="s">
        <v>24</v>
      </c>
    </row>
    <row r="18" ht="14.25" customHeight="1">
      <c r="N18" s="7" t="s">
        <v>25</v>
      </c>
    </row>
    <row r="19" ht="14.25" customHeight="1">
      <c r="N19" s="7" t="s">
        <v>26</v>
      </c>
    </row>
    <row r="20" ht="14.25" customHeight="1">
      <c r="N20" s="7" t="s">
        <v>27</v>
      </c>
    </row>
    <row r="21" ht="14.25" customHeight="1">
      <c r="N21" s="7" t="s">
        <v>28</v>
      </c>
    </row>
    <row r="22" ht="14.25" customHeight="1">
      <c r="N22" s="7" t="s">
        <v>29</v>
      </c>
    </row>
    <row r="23" ht="14.25" customHeight="1">
      <c r="N23" s="7" t="s">
        <v>30</v>
      </c>
    </row>
    <row r="24" ht="14.25" customHeight="1">
      <c r="N24" s="7" t="s">
        <v>31</v>
      </c>
    </row>
    <row r="25" ht="14.25" customHeight="1">
      <c r="N25" s="7" t="s">
        <v>32</v>
      </c>
    </row>
    <row r="26" ht="14.25" customHeight="1">
      <c r="N26" s="7" t="s">
        <v>33</v>
      </c>
    </row>
    <row r="27" ht="14.25" customHeight="1">
      <c r="N27" s="7" t="s">
        <v>34</v>
      </c>
    </row>
    <row r="28" ht="14.25" customHeight="1">
      <c r="N28" s="7" t="s">
        <v>35</v>
      </c>
    </row>
    <row r="29" ht="14.25" customHeight="1">
      <c r="N29" s="7" t="s">
        <v>36</v>
      </c>
    </row>
    <row r="30" ht="14.25" customHeight="1">
      <c r="N30" s="7" t="s">
        <v>37</v>
      </c>
    </row>
    <row r="31" ht="14.25" customHeight="1">
      <c r="N31" s="7" t="s">
        <v>38</v>
      </c>
    </row>
    <row r="32" ht="14.25" customHeight="1">
      <c r="N32" s="7" t="s">
        <v>39</v>
      </c>
    </row>
    <row r="33" ht="14.25" customHeight="1">
      <c r="N33" s="7" t="s">
        <v>40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5.29"/>
    <col customWidth="1" min="3" max="3" width="10.43"/>
    <col customWidth="1" min="4" max="4" width="9.71"/>
    <col customWidth="1" min="5" max="5" width="14.14"/>
    <col customWidth="1" min="6" max="6" width="14.57"/>
    <col customWidth="1" min="7" max="7" width="8.14"/>
    <col customWidth="1" min="8" max="8" width="12.29"/>
    <col customWidth="1" min="9" max="9" width="13.57"/>
    <col customWidth="1" min="10" max="10" width="12.71"/>
    <col customWidth="1" min="11" max="13" width="9.14"/>
    <col customWidth="1" min="14" max="14" width="11.0"/>
    <col customWidth="1" min="15" max="26" width="9.14"/>
  </cols>
  <sheetData>
    <row r="1" ht="14.25" customHeight="1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</row>
    <row r="2" ht="14.25" customHeight="1">
      <c r="A2" s="13" t="s">
        <v>11</v>
      </c>
      <c r="B2" s="9" t="str">
        <f>'Introducir datos'!B2</f>
        <v/>
      </c>
      <c r="C2" s="9" t="str">
        <f>'Introducir datos'!C2</f>
        <v/>
      </c>
      <c r="D2" s="9" t="str">
        <f>'Introducir datos'!D2</f>
        <v/>
      </c>
      <c r="E2" s="9" t="str">
        <f>'Introducir datos'!E2</f>
        <v/>
      </c>
      <c r="F2" s="9" t="str">
        <f>'Introducir datos'!F2</f>
        <v/>
      </c>
      <c r="G2" s="9" t="str">
        <f>'Introducir datos'!G2</f>
        <v/>
      </c>
      <c r="H2" s="9" t="str">
        <f>'Introducir datos'!H2</f>
        <v/>
      </c>
      <c r="I2" s="9" t="str">
        <f>'Introducir datos'!I2</f>
        <v/>
      </c>
      <c r="J2" s="9" t="str">
        <f>'Introducir datos'!J2</f>
        <v/>
      </c>
      <c r="K2" s="9" t="str">
        <f>'Introducir datos'!K2</f>
        <v/>
      </c>
      <c r="L2" s="9" t="str">
        <f>'Introducir datos'!L2</f>
        <v/>
      </c>
    </row>
    <row r="3" ht="14.25" customHeight="1"/>
    <row r="4" ht="14.25" customHeight="1"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7" t="s">
        <v>10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7" t="s">
        <v>15</v>
      </c>
      <c r="J5" s="14"/>
    </row>
    <row r="6" ht="14.25" customHeight="1">
      <c r="A6" s="8" t="s">
        <v>41</v>
      </c>
      <c r="B6" s="14">
        <f>AVERAGE('Base de datos'!C2:C28)</f>
        <v>57.07037037</v>
      </c>
      <c r="C6" s="14">
        <f>AVERAGE('Base de datos'!D2:D28)</f>
        <v>32.96666667</v>
      </c>
      <c r="D6" s="14">
        <f>AVERAGE('Base de datos'!E2:E28)</f>
        <v>63.61275519</v>
      </c>
      <c r="E6" s="14">
        <f>AVERAGE('Base de datos'!F2:F28)</f>
        <v>56.48148148</v>
      </c>
      <c r="F6" s="14">
        <f>AVERAGE('Base de datos'!G2:G28)</f>
        <v>86.98333471</v>
      </c>
      <c r="G6" s="14">
        <f>AVERAGE('Base de datos'!H2:H28)</f>
        <v>52.51497149</v>
      </c>
      <c r="H6" s="14">
        <f>AVERAGE('Base de datos'!I2:I28)</f>
        <v>38.48157407</v>
      </c>
      <c r="I6" s="14">
        <f>AVERAGE('Base de datos'!J2:J28)</f>
        <v>74.20998484</v>
      </c>
      <c r="J6" s="14">
        <f>AVERAGE('Base de datos'!K2:K28)</f>
        <v>106.9313908</v>
      </c>
      <c r="K6" s="14">
        <f>AVERAGE('Base de datos'!L2:L28)</f>
        <v>117.9858954</v>
      </c>
      <c r="L6" s="14">
        <f>AVERAGE('Base de datos'!M2:M28)</f>
        <v>111.8143054</v>
      </c>
    </row>
    <row r="7" ht="14.25" customHeight="1">
      <c r="A7" s="10" t="s">
        <v>42</v>
      </c>
      <c r="B7" s="14">
        <f>STDEV('Base de datos'!C2:C28)</f>
        <v>2.822548605</v>
      </c>
      <c r="C7" s="14">
        <f>STDEV('Base de datos'!D2:D28)</f>
        <v>2.165463177</v>
      </c>
      <c r="D7" s="14">
        <f>STDEV('Base de datos'!E2:E28)</f>
        <v>3.149215366</v>
      </c>
      <c r="E7" s="14">
        <f>STDEV('Base de datos'!F2:F28)</f>
        <v>2.347508833</v>
      </c>
      <c r="F7" s="14">
        <f>STDEV('Base de datos'!G2:G28)</f>
        <v>3.261919541</v>
      </c>
      <c r="G7" s="14">
        <f>STDEV('Base de datos'!H2:H28)</f>
        <v>2.290120362</v>
      </c>
      <c r="H7" s="14">
        <f>STDEV('Base de datos'!I2:I28)</f>
        <v>1.37218555</v>
      </c>
      <c r="I7" s="14">
        <f>STDEV('Base de datos'!J2:J28)</f>
        <v>2.803168294</v>
      </c>
      <c r="J7" s="14">
        <f>STDEV('Base de datos'!K2:K28)</f>
        <v>4.109259519</v>
      </c>
      <c r="K7" s="14">
        <f>STDEV('Base de datos'!L2:L28)</f>
        <v>5.043634441</v>
      </c>
      <c r="L7" s="14">
        <f>STDEV('Base de datos'!M2:M28)</f>
        <v>5.140478346</v>
      </c>
    </row>
    <row r="8" ht="14.25" customHeight="1">
      <c r="A8" s="10" t="s">
        <v>43</v>
      </c>
      <c r="E8" s="13">
        <f>_xlfn.NORM.DIST(E$2/1.02,E6,E7,TRUE)</f>
        <v>0</v>
      </c>
      <c r="G8" s="13">
        <f>_xlfn.NORM.DIST(G$2/1.02,G6,G7,TRUE)</f>
        <v>0</v>
      </c>
      <c r="K8" s="13">
        <f>_xlfn.NORM.DIST(K$2/1.02,K6,K7,TRUE)</f>
        <v>0</v>
      </c>
    </row>
    <row r="9" ht="14.25" customHeight="1">
      <c r="A9" s="10" t="s">
        <v>44</v>
      </c>
      <c r="E9" s="13">
        <f>_xlfn.NORM.DIST(E$2*1.02,E6,E7,TRUE)</f>
        <v>0</v>
      </c>
      <c r="G9" s="13">
        <f>_xlfn.NORM.DIST(G$2*1.02,G6,G7,TRUE)</f>
        <v>0</v>
      </c>
      <c r="K9" s="13">
        <f>_xlfn.NORM.DIST(K$2*1.02,K6,K7,TRUE)</f>
        <v>0</v>
      </c>
    </row>
    <row r="10" ht="14.25" customHeight="1">
      <c r="A10" s="10" t="s">
        <v>45</v>
      </c>
      <c r="E10" s="13">
        <f>IF(E$2=0,1,E9-E8)</f>
        <v>1</v>
      </c>
      <c r="G10" s="13">
        <f>IF(G$2=0,1,G9-G8)</f>
        <v>1</v>
      </c>
      <c r="K10" s="13">
        <f>IF(K$2=0,1,K9-K8)</f>
        <v>1</v>
      </c>
      <c r="N10" s="13">
        <f>$E10*$G10*$K10</f>
        <v>1</v>
      </c>
      <c r="O10" s="13">
        <f>N10*N11</f>
        <v>1</v>
      </c>
      <c r="P10" s="13">
        <f>O10/($O$213)</f>
        <v>0.03846153846</v>
      </c>
      <c r="Q10" s="13" t="str">
        <f t="shared" ref="Q10:Q16" si="1">IF(P10=0,,"Abejero: "&amp;P10)</f>
        <v>Abejero: 0,0384615384615385</v>
      </c>
    </row>
    <row r="11" ht="14.25" customHeight="1">
      <c r="A11" s="10" t="s">
        <v>46</v>
      </c>
      <c r="B11" s="13">
        <f>IF(OR(AND(B$2&gt;MIN('Base de datos'!C2:C28)/1.05,B$2&lt;MAX('Base de datos'!C2:C28)*1.05),B$2=0),1,0)</f>
        <v>1</v>
      </c>
      <c r="C11" s="13">
        <f>IF(OR(AND(C$2&gt;MIN('Base de datos'!D2:D28)/1.05,C$2&lt;MAX('Base de datos'!D2:D28)*1.05),C$2=0),1,0)</f>
        <v>1</v>
      </c>
      <c r="D11" s="13">
        <f>IF(OR(AND(D$2&gt;MIN('Base de datos'!E2:E28)/1.05,D$2&lt;MAX('Base de datos'!E2:E28)*1.05),D$2=0),1,0)</f>
        <v>1</v>
      </c>
      <c r="E11" s="13">
        <f>IF(OR(AND(E$2&gt;MIN('Base de datos'!F2:F28)/1.05,E$2&lt;MAX('Base de datos'!F2:F28)*1.05),E$2=0),1,0)</f>
        <v>1</v>
      </c>
      <c r="F11" s="13">
        <f>IF(OR(AND(F$2&gt;MIN('Base de datos'!G2:G28)/1.05,F$2&lt;MAX('Base de datos'!G2:G28)*1.05),F$2=0),1,0)</f>
        <v>1</v>
      </c>
      <c r="G11" s="13">
        <f>IF(OR(AND(G$2&gt;MIN('Base de datos'!H2:H28)/1.05,G$2&lt;MAX('Base de datos'!H2:H28)*1.05),G$2=0),1,0)</f>
        <v>1</v>
      </c>
      <c r="H11" s="13">
        <f>IF(OR(AND(H$2&gt;MIN('Base de datos'!I2:I28)/1.05,H$2&lt;MAX('Base de datos'!I2:I28)*1.05),H$2=0),1,0)</f>
        <v>1</v>
      </c>
      <c r="I11" s="13">
        <f>IF(OR(AND(I$2&gt;MIN('Base de datos'!J2:J28)/1.05,I$2&lt;MAX('Base de datos'!J2:J28)*1.05),I$2=0),1,0)</f>
        <v>1</v>
      </c>
      <c r="J11" s="13">
        <f>IF(OR(AND(J$2&gt;MIN('Base de datos'!K2:K28)/1.05,J$2&lt;MAX('Base de datos'!K2:K28)*1.05),J$2=0),1,0)</f>
        <v>1</v>
      </c>
      <c r="K11" s="13">
        <f>IF(OR(AND(K$2&gt;MIN('Base de datos'!L2:L28)/1.05,K$2&lt;MAX('Base de datos'!L2:L28)*1.05),K$2=0),1,0)</f>
        <v>1</v>
      </c>
      <c r="L11" s="13">
        <f>IF(OR(AND(L$2&gt;MIN('Base de datos'!M2:M28)/1.05,L$2&lt;MAX('Base de datos'!M2:M28)*1.05),L$2=0),1,0)</f>
        <v>1</v>
      </c>
      <c r="N11" s="13">
        <f>PRODUCT(B11:L11)</f>
        <v>1</v>
      </c>
      <c r="Q11" s="13" t="str">
        <f t="shared" si="1"/>
        <v/>
      </c>
    </row>
    <row r="12" ht="14.25" customHeight="1">
      <c r="B12" s="7" t="s">
        <v>0</v>
      </c>
      <c r="C12" s="7" t="s">
        <v>1</v>
      </c>
      <c r="D12" s="7" t="s">
        <v>2</v>
      </c>
      <c r="E12" s="7" t="s">
        <v>3</v>
      </c>
      <c r="F12" s="7" t="s">
        <v>4</v>
      </c>
      <c r="G12" s="7" t="s">
        <v>5</v>
      </c>
      <c r="H12" s="7" t="s">
        <v>6</v>
      </c>
      <c r="I12" s="7" t="s">
        <v>7</v>
      </c>
      <c r="J12" s="7" t="s">
        <v>8</v>
      </c>
      <c r="K12" s="7" t="s">
        <v>9</v>
      </c>
      <c r="L12" s="7" t="s">
        <v>10</v>
      </c>
      <c r="M12" s="7"/>
      <c r="N12" s="7"/>
      <c r="Q12" s="13" t="str">
        <f t="shared" si="1"/>
        <v/>
      </c>
    </row>
    <row r="13" ht="14.25" customHeight="1">
      <c r="A13" s="7" t="s">
        <v>16</v>
      </c>
      <c r="J13" s="14"/>
      <c r="Q13" s="13" t="str">
        <f t="shared" si="1"/>
        <v/>
      </c>
    </row>
    <row r="14" ht="14.25" customHeight="1">
      <c r="A14" s="8" t="s">
        <v>41</v>
      </c>
      <c r="B14" s="14">
        <f>AVERAGE('Base de datos'!C29:C54)</f>
        <v>31.16921305</v>
      </c>
      <c r="C14" s="14">
        <f>AVERAGE('Base de datos'!D29:D54)</f>
        <v>25.4983991</v>
      </c>
      <c r="D14" s="14">
        <f>AVERAGE('Base de datos'!E29:E54)</f>
        <v>44.08532133</v>
      </c>
      <c r="E14" s="14">
        <f>AVERAGE('Base de datos'!F29:F54)</f>
        <v>44.03976988</v>
      </c>
      <c r="F14" s="14">
        <f>AVERAGE('Base de datos'!G29:G54)</f>
        <v>57.35623805</v>
      </c>
      <c r="G14" s="14">
        <f>AVERAGE('Base de datos'!H29:H54)</f>
        <v>34.8933627</v>
      </c>
      <c r="H14" s="14">
        <f>AVERAGE('Base de datos'!I29:I54)</f>
        <v>29.14165196</v>
      </c>
      <c r="I14" s="14">
        <f>AVERAGE('Base de datos'!J29:J54)</f>
        <v>48.1088957</v>
      </c>
      <c r="J14" s="14">
        <f>AVERAGE('Base de datos'!K29:K54)</f>
        <v>56.34281872</v>
      </c>
      <c r="K14" s="14">
        <f>AVERAGE('Base de datos'!L29:L54)</f>
        <v>63.94302741</v>
      </c>
      <c r="L14" s="14">
        <f>AVERAGE('Base de datos'!M29:M54)</f>
        <v>59.20013429</v>
      </c>
      <c r="Q14" s="13" t="str">
        <f t="shared" si="1"/>
        <v/>
      </c>
    </row>
    <row r="15" ht="14.25" customHeight="1">
      <c r="A15" s="10" t="s">
        <v>42</v>
      </c>
      <c r="B15" s="14">
        <f>STDEV('Base de datos'!C29:C54)</f>
        <v>1.94508604</v>
      </c>
      <c r="C15" s="14">
        <f>STDEV('Base de datos'!D29:D54)</f>
        <v>1.428342644</v>
      </c>
      <c r="D15" s="14">
        <f>STDEV('Base de datos'!E29:E54)</f>
        <v>2.300490781</v>
      </c>
      <c r="E15" s="14">
        <f>STDEV('Base de datos'!F29:F54)</f>
        <v>1.417006542</v>
      </c>
      <c r="F15" s="14">
        <f>STDEV('Base de datos'!G29:G54)</f>
        <v>1.734803674</v>
      </c>
      <c r="G15" s="14">
        <f>STDEV('Base de datos'!H29:H54)</f>
        <v>0.9295731495</v>
      </c>
      <c r="H15" s="14">
        <f>STDEV('Base de datos'!I29:I54)</f>
        <v>0.877223311</v>
      </c>
      <c r="I15" s="14">
        <f>STDEV('Base de datos'!J29:J54)</f>
        <v>1.846938731</v>
      </c>
      <c r="J15" s="14">
        <f>STDEV('Base de datos'!K29:K54)</f>
        <v>3.208280932</v>
      </c>
      <c r="K15" s="14">
        <f>STDEV('Base de datos'!L29:L54)</f>
        <v>3.880362214</v>
      </c>
      <c r="L15" s="14">
        <f>STDEV('Base de datos'!M29:M54)</f>
        <v>3.606085411</v>
      </c>
      <c r="Q15" s="13" t="str">
        <f t="shared" si="1"/>
        <v/>
      </c>
    </row>
    <row r="16" ht="14.25" customHeight="1">
      <c r="A16" s="10" t="s">
        <v>43</v>
      </c>
      <c r="E16" s="13">
        <f>_xlfn.NORM.DIST(E$2/1.02,E14,E15,TRUE)</f>
        <v>0</v>
      </c>
      <c r="G16" s="13">
        <f>_xlfn.NORM.DIST(G$2/1.02,G14,G15,TRUE)</f>
        <v>0</v>
      </c>
      <c r="K16" s="13">
        <f>_xlfn.NORM.DIST(K$2/1.02,K14,K15,TRUE)</f>
        <v>0</v>
      </c>
      <c r="Q16" s="13" t="str">
        <f t="shared" si="1"/>
        <v/>
      </c>
    </row>
    <row r="17" ht="14.25" customHeight="1">
      <c r="A17" s="10" t="s">
        <v>44</v>
      </c>
      <c r="E17" s="13">
        <f>_xlfn.NORM.DIST(E$2*1.02,E14,E15,TRUE)</f>
        <v>0</v>
      </c>
      <c r="G17" s="13">
        <f>_xlfn.NORM.DIST(G$2*1.02,G14,G15,TRUE)</f>
        <v>0</v>
      </c>
      <c r="K17" s="13">
        <f>_xlfn.NORM.DIST(K$2*1.02,K14,K15,TRUE)</f>
        <v>0</v>
      </c>
      <c r="Q17" s="13" t="str">
        <f t="shared" ref="Q17:Q18" si="2">IF(P17=0,,"Abejero: "&amp;(TEXT(P17,"0.0%")))</f>
        <v/>
      </c>
    </row>
    <row r="18" ht="14.25" customHeight="1">
      <c r="A18" s="10" t="s">
        <v>45</v>
      </c>
      <c r="E18" s="13">
        <f>IF(E$2=0,1,E17-E16)</f>
        <v>1</v>
      </c>
      <c r="G18" s="13">
        <f>IF(G$2=0,1,G17-G16)</f>
        <v>1</v>
      </c>
      <c r="K18" s="13">
        <f>IF(K$2=0,1,K17-K16)</f>
        <v>1</v>
      </c>
      <c r="N18" s="13">
        <f>$E18*$G18*$K18</f>
        <v>1</v>
      </c>
      <c r="O18" s="13">
        <f>N18*N19</f>
        <v>1</v>
      </c>
      <c r="P18" s="10">
        <f>O18/($O$213)</f>
        <v>0.03846153846</v>
      </c>
      <c r="Q18" s="13" t="str">
        <f t="shared" si="2"/>
        <v>Abejero: 3,8%</v>
      </c>
    </row>
    <row r="19" ht="14.25" customHeight="1">
      <c r="A19" s="10" t="s">
        <v>46</v>
      </c>
      <c r="B19" s="13">
        <f>IF(OR(AND(B$2&gt;MIN('Base de datos'!C29:C54)/1.05,B$2&lt;MAX('Base de datos'!C29:C54)*1.05),B$2=0),1,0)</f>
        <v>1</v>
      </c>
      <c r="C19" s="13">
        <f>IF(OR(AND(C$2&gt;MIN('Base de datos'!D29:D54)/1.05,C$2&lt;MAX('Base de datos'!D29:D54)*1.05),C$2=0),1,0)</f>
        <v>1</v>
      </c>
      <c r="D19" s="13">
        <f>IF(OR(AND(D$2&gt;MIN('Base de datos'!E29:E54)/1.05,D$2&lt;MAX('Base de datos'!E29:E54)*1.05),D$2=0),1,0)</f>
        <v>1</v>
      </c>
      <c r="E19" s="13">
        <f>IF(OR(AND(E$2&gt;MIN('Base de datos'!F29:F54)/1.05,E$2&lt;MAX('Base de datos'!F29:F54)*1.05),E$2=0),1,0)</f>
        <v>1</v>
      </c>
      <c r="F19" s="13">
        <f>IF(OR(AND(F$2&gt;MIN('Base de datos'!G29:G54)/1.05,F$2&lt;MAX('Base de datos'!G29:G54)*1.05),F$2=0),1,0)</f>
        <v>1</v>
      </c>
      <c r="G19" s="13">
        <f>IF(OR(AND(G$2&gt;MIN('Base de datos'!H29:H54)/1.05,G$2&lt;MAX('Base de datos'!H29:H54)*1.05),G$2=0),1,0)</f>
        <v>1</v>
      </c>
      <c r="H19" s="13">
        <f>IF(OR(AND(H$2&gt;MIN('Base de datos'!I29:I54)/1.05,H$2&lt;MAX('Base de datos'!I29:I54)*1.05),H$2=0),1,0)</f>
        <v>1</v>
      </c>
      <c r="I19" s="13">
        <f>IF(OR(AND(I$2&gt;MIN('Base de datos'!J29:J54)/1.05,I$2&lt;MAX('Base de datos'!J29:J54)*1.05),I$2=0),1,0)</f>
        <v>1</v>
      </c>
      <c r="J19" s="13">
        <f>IF(OR(AND(J$2&gt;MIN('Base de datos'!K29:K54)/1.05,J$2&lt;MAX('Base de datos'!K29:K54)*1.05),J$2=0),1,0)</f>
        <v>1</v>
      </c>
      <c r="K19" s="13">
        <f>IF(OR(AND(K$2&gt;MIN('Base de datos'!L29:L54)/1.05,K$2&lt;MAX('Base de datos'!L29:L54)*1.05),K$2=0),1,0)</f>
        <v>1</v>
      </c>
      <c r="L19" s="13">
        <f>IF(OR(AND(L$2&gt;MIN('Base de datos'!M29:M54)/1.05,L$2&lt;MAX('Base de datos'!M29:M54)*1.05),L$2=0),1,0)</f>
        <v>1</v>
      </c>
      <c r="N19" s="13">
        <f>PRODUCT(B19:L19)</f>
        <v>1</v>
      </c>
    </row>
    <row r="20" ht="14.25" customHeight="1">
      <c r="B20" s="7" t="s">
        <v>0</v>
      </c>
      <c r="C20" s="7" t="s">
        <v>1</v>
      </c>
      <c r="D20" s="7" t="s">
        <v>2</v>
      </c>
      <c r="E20" s="7" t="s">
        <v>3</v>
      </c>
      <c r="F20" s="7" t="s">
        <v>4</v>
      </c>
      <c r="G20" s="7" t="s">
        <v>5</v>
      </c>
      <c r="H20" s="7" t="s">
        <v>6</v>
      </c>
      <c r="I20" s="7" t="s">
        <v>7</v>
      </c>
      <c r="J20" s="7" t="s">
        <v>8</v>
      </c>
      <c r="K20" s="7" t="s">
        <v>9</v>
      </c>
      <c r="L20" s="7" t="s">
        <v>10</v>
      </c>
      <c r="M20" s="7"/>
      <c r="N20" s="7"/>
    </row>
    <row r="21" ht="14.25" customHeight="1">
      <c r="A21" s="7" t="s">
        <v>17</v>
      </c>
      <c r="J21" s="14"/>
    </row>
    <row r="22" ht="14.25" customHeight="1">
      <c r="A22" s="8" t="s">
        <v>41</v>
      </c>
      <c r="B22" s="14">
        <f>AVERAGE('Base de datos'!C55:C90)</f>
        <v>82.48828298</v>
      </c>
      <c r="C22" s="14">
        <f>AVERAGE('Base de datos'!D55:D90)</f>
        <v>44.97348118</v>
      </c>
      <c r="D22" s="14">
        <f>AVERAGE('Base de datos'!E55:E90)</f>
        <v>95.94328685</v>
      </c>
      <c r="E22" s="14">
        <f>AVERAGE('Base de datos'!F55:F90)</f>
        <v>75.12458893</v>
      </c>
      <c r="F22" s="14">
        <f>AVERAGE('Base de datos'!G55:G90)</f>
        <v>122.7317715</v>
      </c>
      <c r="G22" s="14">
        <f>AVERAGE('Base de datos'!H55:H90)</f>
        <v>80.23241375</v>
      </c>
      <c r="H22" s="14">
        <f>AVERAGE('Base de datos'!I55:I90)</f>
        <v>46.92472501</v>
      </c>
      <c r="I22" s="14">
        <f>AVERAGE('Base de datos'!J55:J90)</f>
        <v>106.0360562</v>
      </c>
      <c r="J22" s="14">
        <f>AVERAGE('Base de datos'!K55:K90)</f>
        <v>151.2645603</v>
      </c>
      <c r="K22" s="14">
        <f>AVERAGE('Base de datos'!L55:L90)</f>
        <v>175.8595997</v>
      </c>
      <c r="L22" s="14">
        <f>AVERAGE('Base de datos'!M55:M90)</f>
        <v>168.1217811</v>
      </c>
    </row>
    <row r="23" ht="14.25" customHeight="1">
      <c r="A23" s="10" t="s">
        <v>42</v>
      </c>
      <c r="B23" s="14">
        <f>STDEV('Base de datos'!C55:C90)</f>
        <v>3.355811392</v>
      </c>
      <c r="C23" s="14">
        <f>STDEV('Base de datos'!D55:D90)</f>
        <v>2.273653143</v>
      </c>
      <c r="D23" s="14">
        <f>STDEV('Base de datos'!E55:E90)</f>
        <v>4.670277668</v>
      </c>
      <c r="E23" s="14">
        <f>STDEV('Base de datos'!F55:F90)</f>
        <v>3.567383179</v>
      </c>
      <c r="F23" s="14">
        <f>STDEV('Base de datos'!G55:G90)</f>
        <v>4.33125505</v>
      </c>
      <c r="G23" s="14">
        <f>STDEV('Base de datos'!H55:H90)</f>
        <v>2.06242162</v>
      </c>
      <c r="H23" s="14">
        <f>STDEV('Base de datos'!I55:I90)</f>
        <v>1.208390612</v>
      </c>
      <c r="I23" s="14">
        <f>STDEV('Base de datos'!J55:J90)</f>
        <v>4.763115506</v>
      </c>
      <c r="J23" s="14">
        <f>STDEV('Base de datos'!K55:K90)</f>
        <v>4.050300481</v>
      </c>
      <c r="K23" s="14">
        <f>STDEV('Base de datos'!L55:L90)</f>
        <v>5.080941574</v>
      </c>
      <c r="L23" s="14">
        <f>STDEV('Base de datos'!M55:M90)</f>
        <v>5.115838232</v>
      </c>
    </row>
    <row r="24" ht="14.25" customHeight="1">
      <c r="A24" s="10" t="s">
        <v>43</v>
      </c>
      <c r="E24" s="13">
        <f>_xlfn.NORM.DIST(E$2/1.02,E22,E23,TRUE)</f>
        <v>0</v>
      </c>
      <c r="G24" s="13">
        <f>_xlfn.NORM.DIST(G$2/1.02,G22,G23,TRUE)</f>
        <v>0</v>
      </c>
      <c r="K24" s="13">
        <f>_xlfn.NORM.DIST(K$2/1.02,K22,K23,TRUE)</f>
        <v>0</v>
      </c>
    </row>
    <row r="25" ht="14.25" customHeight="1">
      <c r="A25" s="10" t="s">
        <v>44</v>
      </c>
      <c r="E25" s="13">
        <f>_xlfn.NORM.DIST(E$2*1.02,E22,E23,TRUE)</f>
        <v>0</v>
      </c>
      <c r="G25" s="13">
        <f>_xlfn.NORM.DIST(G$2*1.02,G22,G23,TRUE)</f>
        <v>0</v>
      </c>
      <c r="K25" s="13">
        <f>_xlfn.NORM.DIST(K$2*1.02,K22,K23,TRUE)</f>
        <v>0</v>
      </c>
    </row>
    <row r="26" ht="14.25" customHeight="1">
      <c r="A26" s="10" t="s">
        <v>45</v>
      </c>
      <c r="E26" s="13">
        <f>IF(E$2=0,1,E25-E24)</f>
        <v>1</v>
      </c>
      <c r="G26" s="13">
        <f>IF(G$2=0,1,G25-G24)</f>
        <v>1</v>
      </c>
      <c r="K26" s="13">
        <f>IF(K$2=0,1,K25-K24)</f>
        <v>1</v>
      </c>
      <c r="N26" s="13">
        <f>$E26*$G26*$K26</f>
        <v>1</v>
      </c>
      <c r="O26" s="13">
        <f>N26*N27</f>
        <v>1</v>
      </c>
      <c r="P26" s="13">
        <f>O26/($O$213)</f>
        <v>0.03846153846</v>
      </c>
    </row>
    <row r="27" ht="14.25" customHeight="1">
      <c r="A27" s="10" t="s">
        <v>46</v>
      </c>
      <c r="B27" s="13">
        <f>IF(OR(AND(B$2&gt;MIN('Base de datos'!C55:C90)/1.05,B$2&lt;MAX('Base de datos'!C55:C90)*1.05),B$2=0),1,0)</f>
        <v>1</v>
      </c>
      <c r="C27" s="13">
        <f>IF(OR(AND(C$2&gt;MIN('Base de datos'!D55:D90)/1.05,C$2&lt;MAX('Base de datos'!D55:D90)*1.05),C$2=0),1,0)</f>
        <v>1</v>
      </c>
      <c r="D27" s="13">
        <f>IF(OR(AND(D$2&gt;MIN('Base de datos'!E55:E90)/1.05,D$2&lt;MAX('Base de datos'!E55:E90)*1.05),D$2=0),1,0)</f>
        <v>1</v>
      </c>
      <c r="E27" s="13">
        <f>IF(OR(AND(E$2&gt;MIN('Base de datos'!F55:F90)/1.05,E$2&lt;MAX('Base de datos'!F55:F90)*1.05),E$2=0),1,0)</f>
        <v>1</v>
      </c>
      <c r="F27" s="13">
        <f>IF(OR(AND(F$2&gt;MIN('Base de datos'!G55:G90)/1.05,F$2&lt;MAX('Base de datos'!G55:G90)*1.05),F$2=0),1,0)</f>
        <v>1</v>
      </c>
      <c r="G27" s="13">
        <f>IF(OR(AND(G$2&gt;MIN('Base de datos'!H55:H90)/1.05,G$2&lt;MAX('Base de datos'!H55:H90)*1.05),G$2=0),1,0)</f>
        <v>1</v>
      </c>
      <c r="H27" s="13">
        <f>IF(OR(AND(H$2&gt;MIN('Base de datos'!I55:I90)/1.05,H$2&lt;MAX('Base de datos'!I55:I90)*1.05),H$2=0),1,0)</f>
        <v>1</v>
      </c>
      <c r="I27" s="13">
        <f>IF(OR(AND(I$2&gt;MIN('Base de datos'!J55:J90)/1.05,I$2&lt;MAX('Base de datos'!J55:J90)*1.05),I$2=0),1,0)</f>
        <v>1</v>
      </c>
      <c r="J27" s="13">
        <f>IF(OR(AND(J$2&gt;MIN('Base de datos'!K55:K90)/1.05,J$2&lt;MAX('Base de datos'!K55:K90)*1.05),J$2=0),1,0)</f>
        <v>1</v>
      </c>
      <c r="K27" s="13">
        <f>IF(OR(AND(K$2&gt;MIN('Base de datos'!L55:L90)/1.05,K$2&lt;MAX('Base de datos'!L55:L90)*1.05),K$2=0),1,0)</f>
        <v>1</v>
      </c>
      <c r="L27" s="13">
        <f>IF(OR(AND(L$2&gt;MIN('Base de datos'!M55:M90)/1.05,L$2&lt;MAX('Base de datos'!M55:M90)*1.05),L$2=0),1,0)</f>
        <v>1</v>
      </c>
      <c r="N27" s="13">
        <f>PRODUCT(B27:L27)</f>
        <v>1</v>
      </c>
    </row>
    <row r="28" ht="14.25" customHeight="1">
      <c r="B28" s="7" t="s">
        <v>0</v>
      </c>
      <c r="C28" s="7" t="s">
        <v>1</v>
      </c>
      <c r="D28" s="7" t="s">
        <v>2</v>
      </c>
      <c r="E28" s="7" t="s">
        <v>3</v>
      </c>
      <c r="F28" s="7" t="s">
        <v>4</v>
      </c>
      <c r="G28" s="7" t="s">
        <v>5</v>
      </c>
      <c r="H28" s="7" t="s">
        <v>6</v>
      </c>
      <c r="I28" s="7" t="s">
        <v>7</v>
      </c>
      <c r="J28" s="7" t="s">
        <v>8</v>
      </c>
      <c r="K28" s="7" t="s">
        <v>9</v>
      </c>
      <c r="L28" s="7" t="s">
        <v>10</v>
      </c>
      <c r="M28" s="7"/>
      <c r="N28" s="7"/>
    </row>
    <row r="29" ht="14.25" customHeight="1">
      <c r="A29" s="7" t="s">
        <v>18</v>
      </c>
      <c r="J29" s="14"/>
    </row>
    <row r="30" ht="14.25" customHeight="1">
      <c r="A30" s="8" t="s">
        <v>41</v>
      </c>
      <c r="B30" s="14">
        <f>AVERAGE('Base de datos'!C91:C124)</f>
        <v>53.34117647</v>
      </c>
      <c r="C30" s="14">
        <f>AVERAGE('Base de datos'!D91:D124)</f>
        <v>37.87352941</v>
      </c>
      <c r="D30" s="14">
        <f>AVERAGE('Base de datos'!E91:E124)</f>
        <v>75.44275913</v>
      </c>
      <c r="E30" s="14">
        <f>AVERAGE('Base de datos'!F91:F124)</f>
        <v>77.93529412</v>
      </c>
      <c r="F30" s="14">
        <f>AVERAGE('Base de datos'!G91:G124)</f>
        <v>105.2885525</v>
      </c>
      <c r="G30" s="14">
        <f>AVERAGE('Base de datos'!H91:H124)</f>
        <v>77.31244799</v>
      </c>
      <c r="H30" s="14">
        <f>AVERAGE('Base de datos'!I91:I124)</f>
        <v>41.98055337</v>
      </c>
      <c r="I30" s="14">
        <f>AVERAGE('Base de datos'!J91:J124)</f>
        <v>71.96924973</v>
      </c>
      <c r="J30" s="14">
        <f>AVERAGE('Base de datos'!K91:K124)</f>
        <v>92.27368703</v>
      </c>
      <c r="K30" s="14">
        <f>AVERAGE('Base de datos'!L91:L124)</f>
        <v>103.3729743</v>
      </c>
      <c r="L30" s="14">
        <f>AVERAGE('Base de datos'!M91:M124)</f>
        <v>96.14112785</v>
      </c>
    </row>
    <row r="31" ht="14.25" customHeight="1">
      <c r="A31" s="10" t="s">
        <v>42</v>
      </c>
      <c r="B31" s="14">
        <f>STDEV('Base de datos'!C91:C124)</f>
        <v>4.381788596</v>
      </c>
      <c r="C31" s="14">
        <f>STDEV('Base de datos'!D91:D124)</f>
        <v>2.43886571</v>
      </c>
      <c r="D31" s="14">
        <f>STDEV('Base de datos'!E91:E124)</f>
        <v>5.045214536</v>
      </c>
      <c r="E31" s="14">
        <f>STDEV('Base de datos'!F91:F124)</f>
        <v>5.572327861</v>
      </c>
      <c r="F31" s="14">
        <f>STDEV('Base de datos'!G91:G124)</f>
        <v>7.736359331</v>
      </c>
      <c r="G31" s="14">
        <f>STDEV('Base de datos'!H91:H124)</f>
        <v>4.853107615</v>
      </c>
      <c r="H31" s="14">
        <f>STDEV('Base de datos'!I91:I124)</f>
        <v>1.228055907</v>
      </c>
      <c r="I31" s="14">
        <f>STDEV('Base de datos'!J91:J124)</f>
        <v>4.388120206</v>
      </c>
      <c r="J31" s="14">
        <f>STDEV('Base de datos'!K91:K124)</f>
        <v>6.309244538</v>
      </c>
      <c r="K31" s="14">
        <f>STDEV('Base de datos'!L91:L124)</f>
        <v>6.839803085</v>
      </c>
      <c r="L31" s="14">
        <f>STDEV('Base de datos'!M91:M124)</f>
        <v>6.506262281</v>
      </c>
    </row>
    <row r="32" ht="14.25" customHeight="1">
      <c r="A32" s="10" t="s">
        <v>43</v>
      </c>
      <c r="E32" s="13">
        <f>_xlfn.NORM.DIST(E$2/1.02,E30,E31,TRUE)</f>
        <v>0</v>
      </c>
      <c r="G32" s="13">
        <f>_xlfn.NORM.DIST(G$2/1.02,G30,G31,TRUE)</f>
        <v>0</v>
      </c>
      <c r="K32" s="13">
        <f>_xlfn.NORM.DIST(K$2/1.02,K30,K31,TRUE)</f>
        <v>0</v>
      </c>
    </row>
    <row r="33" ht="14.25" customHeight="1">
      <c r="A33" s="10" t="s">
        <v>44</v>
      </c>
      <c r="E33" s="13">
        <f>_xlfn.NORM.DIST(E$2*1.02,E30,E31,TRUE)</f>
        <v>0</v>
      </c>
      <c r="G33" s="13">
        <f>_xlfn.NORM.DIST(G$2*1.02,G30,G31,TRUE)</f>
        <v>0</v>
      </c>
      <c r="K33" s="13">
        <f>_xlfn.NORM.DIST(K$2*1.02,K30,K31,TRUE)</f>
        <v>0</v>
      </c>
    </row>
    <row r="34" ht="14.25" customHeight="1">
      <c r="A34" s="10" t="s">
        <v>45</v>
      </c>
      <c r="E34" s="13">
        <f>IF(E$2=0,1,E33-E32)</f>
        <v>1</v>
      </c>
      <c r="G34" s="13">
        <f>IF(G$2=0,1,G33-G32)</f>
        <v>1</v>
      </c>
      <c r="K34" s="13">
        <f>IF(K$2=0,1,K33-K32)</f>
        <v>1</v>
      </c>
      <c r="N34" s="13">
        <f>$E34*$G34*$K34</f>
        <v>1</v>
      </c>
      <c r="O34" s="13">
        <f>N34*N35</f>
        <v>1</v>
      </c>
      <c r="P34" s="13">
        <f>O34/($O$213)</f>
        <v>0.03846153846</v>
      </c>
    </row>
    <row r="35" ht="14.25" customHeight="1">
      <c r="A35" s="10" t="s">
        <v>46</v>
      </c>
      <c r="B35" s="13">
        <f>IF(OR(AND(B$2&gt;MIN('Base de datos'!C91:C124)/1.05,B$2&lt;MAX('Base de datos'!C91:C124)*1.05),B$2=0),1,0)</f>
        <v>1</v>
      </c>
      <c r="C35" s="13">
        <f>IF(OR(AND(C$2&gt;MIN('Base de datos'!D91:D124)/1.05,C$2&lt;MAX('Base de datos'!D91:D124)*1.05),C$2=0),1,0)</f>
        <v>1</v>
      </c>
      <c r="D35" s="13">
        <f>IF(OR(AND(D$2&gt;MIN('Base de datos'!E91:E124)/1.05,D$2&lt;MAX('Base de datos'!E91:E124)*1.05),D$2=0),1,0)</f>
        <v>1</v>
      </c>
      <c r="E35" s="13">
        <f>IF(OR(AND(E$2&gt;MIN('Base de datos'!F91:F124)/1.05,E$2&lt;MAX('Base de datos'!F91:F124)*1.05),E$2=0),1,0)</f>
        <v>1</v>
      </c>
      <c r="F35" s="13">
        <f>IF(OR(AND(F$2&gt;MIN('Base de datos'!G91:G124)/1.05,F$2&lt;MAX('Base de datos'!G91:G124)*1.05),F$2=0),1,0)</f>
        <v>1</v>
      </c>
      <c r="G35" s="13">
        <f>IF(OR(AND(G$2&gt;MIN('Base de datos'!H91:H124)/1.05,G$2&lt;MAX('Base de datos'!H91:H124)*1.05),G$2=0),1,0)</f>
        <v>1</v>
      </c>
      <c r="H35" s="13">
        <f>IF(OR(AND(H$2&gt;MIN('Base de datos'!I91:I124)/1.05,H$2&lt;MAX('Base de datos'!I91:I124)*1.05),H$2=0),1,0)</f>
        <v>1</v>
      </c>
      <c r="I35" s="13">
        <f>IF(OR(AND(I$2&gt;MIN('Base de datos'!J91:J124)/1.05,I$2&lt;MAX('Base de datos'!J91:J124)*1.05),I$2=0),1,0)</f>
        <v>1</v>
      </c>
      <c r="J35" s="13">
        <f>IF(OR(AND(J$2&gt;MIN('Base de datos'!K91:K124)/1.05,J$2&lt;MAX('Base de datos'!K91:K124)*1.05),J$2=0),1,0)</f>
        <v>1</v>
      </c>
      <c r="K35" s="13">
        <f>IF(OR(AND(K$2&gt;MIN('Base de datos'!L91:L124)/1.05,K$2&lt;MAX('Base de datos'!L91:L124)*1.05),K$2=0),1,0)</f>
        <v>1</v>
      </c>
      <c r="L35" s="13">
        <f>IF(OR(AND(L$2&gt;MIN('Base de datos'!M91:M124)/1.05,L$2&lt;MAX('Base de datos'!M91:M124)*1.05),L$2=0),1,0)</f>
        <v>1</v>
      </c>
      <c r="N35" s="13">
        <f>PRODUCT(B35:L35)</f>
        <v>1</v>
      </c>
    </row>
    <row r="36" ht="14.25" customHeight="1">
      <c r="B36" s="7" t="s">
        <v>0</v>
      </c>
      <c r="C36" s="7" t="s">
        <v>1</v>
      </c>
      <c r="D36" s="7" t="s">
        <v>2</v>
      </c>
      <c r="E36" s="7" t="s">
        <v>3</v>
      </c>
      <c r="F36" s="7" t="s">
        <v>4</v>
      </c>
      <c r="G36" s="7" t="s">
        <v>5</v>
      </c>
      <c r="H36" s="7" t="s">
        <v>6</v>
      </c>
      <c r="I36" s="7" t="s">
        <v>7</v>
      </c>
      <c r="J36" s="7" t="s">
        <v>8</v>
      </c>
      <c r="K36" s="7" t="s">
        <v>9</v>
      </c>
      <c r="L36" s="7" t="s">
        <v>10</v>
      </c>
      <c r="M36" s="7"/>
      <c r="N36" s="7"/>
    </row>
    <row r="37" ht="14.25" customHeight="1">
      <c r="A37" s="7" t="s">
        <v>19</v>
      </c>
      <c r="J37" s="14"/>
    </row>
    <row r="38" ht="14.25" customHeight="1">
      <c r="A38" s="8" t="s">
        <v>41</v>
      </c>
      <c r="B38" s="14">
        <f>AVERAGE('Base de datos'!C125:C176)</f>
        <v>140.5865958</v>
      </c>
      <c r="C38" s="14">
        <f>AVERAGE('Base de datos'!D125:D176)</f>
        <v>75.19558986</v>
      </c>
      <c r="D38" s="14">
        <f>AVERAGE('Base de datos'!E125:E176)</f>
        <v>168.891817</v>
      </c>
      <c r="E38" s="14">
        <f>AVERAGE('Base de datos'!F125:F176)</f>
        <v>136.5156486</v>
      </c>
      <c r="F38" s="14">
        <f>AVERAGE('Base de datos'!G125:G176)</f>
        <v>196.0032048</v>
      </c>
      <c r="G38" s="14">
        <f>AVERAGE('Base de datos'!H125:H176)</f>
        <v>111.0485174</v>
      </c>
      <c r="H38" s="14">
        <f>AVERAGE('Base de datos'!I125:I176)</f>
        <v>56.2790181</v>
      </c>
      <c r="I38" s="14">
        <f>AVERAGE('Base de datos'!J125:J176)</f>
        <v>141.0064306</v>
      </c>
      <c r="J38" s="14">
        <f>AVERAGE('Base de datos'!K125:K176)</f>
        <v>261.915631</v>
      </c>
      <c r="K38" s="14">
        <f>AVERAGE('Base de datos'!L125:L176)</f>
        <v>332.103871</v>
      </c>
      <c r="L38" s="14">
        <f>AVERAGE('Base de datos'!M125:M176)</f>
        <v>316.8608895</v>
      </c>
    </row>
    <row r="39" ht="14.25" customHeight="1">
      <c r="A39" s="10" t="s">
        <v>42</v>
      </c>
      <c r="B39" s="14">
        <f>STDEV('Base de datos'!C125:C176)</f>
        <v>6.176852008</v>
      </c>
      <c r="C39" s="14">
        <f>STDEV('Base de datos'!D125:D176)</f>
        <v>2.704493288</v>
      </c>
      <c r="D39" s="14">
        <f>STDEV('Base de datos'!E125:E176)</f>
        <v>6.468322395</v>
      </c>
      <c r="E39" s="14">
        <f>STDEV('Base de datos'!F125:F176)</f>
        <v>2.870837132</v>
      </c>
      <c r="F39" s="14">
        <f>STDEV('Base de datos'!G125:G176)</f>
        <v>4.246659751</v>
      </c>
      <c r="G39" s="14">
        <f>STDEV('Base de datos'!H125:H176)</f>
        <v>3.078969007</v>
      </c>
      <c r="H39" s="14">
        <f>STDEV('Base de datos'!I125:I176)</f>
        <v>1.917084222</v>
      </c>
      <c r="I39" s="14">
        <f>STDEV('Base de datos'!J125:J176)</f>
        <v>3.489189201</v>
      </c>
      <c r="J39" s="14">
        <f>STDEV('Base de datos'!K125:K176)</f>
        <v>6.936287583</v>
      </c>
      <c r="K39" s="14">
        <f>STDEV('Base de datos'!L125:L176)</f>
        <v>7.948577304</v>
      </c>
      <c r="L39" s="14">
        <f>STDEV('Base de datos'!M125:M176)</f>
        <v>8.211066396</v>
      </c>
    </row>
    <row r="40" ht="14.25" customHeight="1">
      <c r="A40" s="10" t="s">
        <v>43</v>
      </c>
      <c r="E40" s="13">
        <f>_xlfn.NORM.DIST(E$2/1.02,E38,E39,TRUE)</f>
        <v>0</v>
      </c>
      <c r="G40" s="13">
        <f>_xlfn.NORM.DIST(G$2/1.02,G38,G39,TRUE)</f>
        <v>0</v>
      </c>
      <c r="K40" s="13">
        <f>_xlfn.NORM.DIST(K$2/1.02,K38,K39,TRUE)</f>
        <v>0</v>
      </c>
    </row>
    <row r="41" ht="14.25" customHeight="1">
      <c r="A41" s="10" t="s">
        <v>44</v>
      </c>
      <c r="E41" s="13">
        <f>_xlfn.NORM.DIST(E$2*1.02,E38,E39,TRUE)</f>
        <v>0</v>
      </c>
      <c r="G41" s="13">
        <f>_xlfn.NORM.DIST(G$2*1.02,G38,G39,TRUE)</f>
        <v>0</v>
      </c>
      <c r="K41" s="13">
        <f>_xlfn.NORM.DIST(K$2*1.02,K38,K39,TRUE)</f>
        <v>0</v>
      </c>
    </row>
    <row r="42" ht="14.25" customHeight="1">
      <c r="A42" s="10" t="s">
        <v>45</v>
      </c>
      <c r="E42" s="13">
        <f>IF(E$2=0,1,E41-E40)</f>
        <v>1</v>
      </c>
      <c r="G42" s="13">
        <f>IF(G$2=0,1,G41-G40)</f>
        <v>1</v>
      </c>
      <c r="K42" s="13">
        <f>IF(K$2=0,1,K41-K40)</f>
        <v>1</v>
      </c>
      <c r="N42" s="13">
        <f>$E42*$G42*$K42</f>
        <v>1</v>
      </c>
      <c r="O42" s="13">
        <f>N42*N43</f>
        <v>1</v>
      </c>
      <c r="P42" s="13">
        <f>O42/($O$213)</f>
        <v>0.03846153846</v>
      </c>
    </row>
    <row r="43" ht="14.25" customHeight="1">
      <c r="A43" s="10" t="s">
        <v>46</v>
      </c>
      <c r="B43" s="13">
        <f>IF(OR(AND(B$2&gt;MIN('Base de datos'!C125:C176)/1.05,B$2&lt;MAX('Base de datos'!C125:C176)*1.05),B$2=0),1,0)</f>
        <v>1</v>
      </c>
      <c r="C43" s="13">
        <f>IF(OR(AND(C$2&gt;MIN('Base de datos'!D125:D176)/1.05,C$2&lt;MAX('Base de datos'!D125:D176)*1.05),C$2=0),1,0)</f>
        <v>1</v>
      </c>
      <c r="D43" s="13">
        <f>IF(OR(AND(D$2&gt;MIN('Base de datos'!E125:E176)/1.05,D$2&lt;MAX('Base de datos'!E125:E176)*1.05),D$2=0),1,0)</f>
        <v>1</v>
      </c>
      <c r="E43" s="13">
        <f>IF(OR(AND(E$2&gt;MIN('Base de datos'!F125:F176)/1.05,E$2&lt;MAX('Base de datos'!F125:F176)*1.05),E$2=0),1,0)</f>
        <v>1</v>
      </c>
      <c r="F43" s="13">
        <f>IF(OR(AND(F$2&gt;MIN('Base de datos'!G125:G176)/1.05,F$2&lt;MAX('Base de datos'!G125:G176)*1.05),F$2=0),1,0)</f>
        <v>1</v>
      </c>
      <c r="G43" s="13">
        <f>IF(OR(AND(G$2&gt;MIN('Base de datos'!H125:H176)/1.05,G$2&lt;MAX('Base de datos'!H125:H176)*1.05),G$2=0),1,0)</f>
        <v>1</v>
      </c>
      <c r="H43" s="13">
        <f>IF(OR(AND(H$2&gt;MIN('Base de datos'!I125:I176)/1.05,H$2&lt;MAX('Base de datos'!I125:I176)*1.05),H$2=0),1,0)</f>
        <v>1</v>
      </c>
      <c r="I43" s="13">
        <f>IF(OR(AND(I$2&gt;MIN('Base de datos'!J125:J176)/1.05,I$2&lt;MAX('Base de datos'!J125:J176)*1.05),I$2=0),1,0)</f>
        <v>1</v>
      </c>
      <c r="J43" s="13">
        <f>IF(OR(AND(J$2&gt;MIN('Base de datos'!K125:K176)/1.05,J$2&lt;MAX('Base de datos'!K125:K176)*1.05),J$2=0),1,0)</f>
        <v>1</v>
      </c>
      <c r="K43" s="13">
        <f>IF(OR(AND(K$2&gt;MIN('Base de datos'!L125:L176)/1.05,K$2&lt;MAX('Base de datos'!L125:L176)*1.05),K$2=0),1,0)</f>
        <v>1</v>
      </c>
      <c r="L43" s="13">
        <f>IF(OR(AND(L$2&gt;MIN('Base de datos'!M125:M176)/1.05,L$2&lt;MAX('Base de datos'!M125:M176)*1.05),L$2=0),1,0)</f>
        <v>1</v>
      </c>
      <c r="N43" s="13">
        <f>PRODUCT(B43:L43)</f>
        <v>1</v>
      </c>
    </row>
    <row r="44" ht="14.25" customHeight="1">
      <c r="B44" s="7" t="s">
        <v>0</v>
      </c>
      <c r="C44" s="7" t="s">
        <v>1</v>
      </c>
      <c r="D44" s="7" t="s">
        <v>2</v>
      </c>
      <c r="E44" s="7" t="s">
        <v>3</v>
      </c>
      <c r="F44" s="7" t="s">
        <v>4</v>
      </c>
      <c r="G44" s="7" t="s">
        <v>5</v>
      </c>
      <c r="H44" s="7" t="s">
        <v>6</v>
      </c>
      <c r="I44" s="7" t="s">
        <v>7</v>
      </c>
      <c r="J44" s="7" t="s">
        <v>8</v>
      </c>
      <c r="K44" s="7" t="s">
        <v>9</v>
      </c>
      <c r="L44" s="7" t="s">
        <v>10</v>
      </c>
      <c r="M44" s="7"/>
      <c r="N44" s="7"/>
    </row>
    <row r="45" ht="14.25" customHeight="1">
      <c r="A45" s="7" t="s">
        <v>20</v>
      </c>
      <c r="J45" s="14"/>
    </row>
    <row r="46" ht="14.25" customHeight="1">
      <c r="A46" s="8" t="s">
        <v>41</v>
      </c>
      <c r="B46" s="14"/>
      <c r="C46" s="14"/>
      <c r="D46" s="14"/>
      <c r="E46" s="14">
        <f>AVERAGE('Base de datos'!F177:F203)</f>
        <v>96.48148148</v>
      </c>
      <c r="F46" s="14">
        <f>AVERAGE('Base de datos'!G177:G203)</f>
        <v>143.5851852</v>
      </c>
      <c r="G46" s="14">
        <f>AVERAGE('Base de datos'!H177:H203)</f>
        <v>76.99772445</v>
      </c>
      <c r="H46" s="14">
        <f>AVERAGE('Base de datos'!I177:I203)</f>
        <v>69.92125801</v>
      </c>
      <c r="I46" s="14">
        <f>AVERAGE('Base de datos'!J177:J203)</f>
        <v>96.52962963</v>
      </c>
      <c r="J46" s="14">
        <f>AVERAGE('Base de datos'!K177:K203)</f>
        <v>156.2851852</v>
      </c>
      <c r="K46" s="14">
        <f>AVERAGE('Base de datos'!L177:L203)</f>
        <v>181.3067726</v>
      </c>
      <c r="L46" s="14">
        <f>AVERAGE('Base de datos'!M177:M203)</f>
        <v>176.1904121</v>
      </c>
    </row>
    <row r="47" ht="14.25" customHeight="1">
      <c r="A47" s="10" t="s">
        <v>42</v>
      </c>
      <c r="B47" s="14"/>
      <c r="C47" s="14"/>
      <c r="D47" s="14"/>
      <c r="E47" s="14">
        <f>STDEV('Base de datos'!F177:F203)</f>
        <v>4.168474821</v>
      </c>
      <c r="F47" s="14">
        <f>STDEV('Base de datos'!G177:G203)</f>
        <v>6.039530274</v>
      </c>
      <c r="G47" s="14">
        <f>STDEV('Base de datos'!H177:H203)</f>
        <v>2.911192532</v>
      </c>
      <c r="H47" s="14">
        <f>STDEV('Base de datos'!I177:I203)</f>
        <v>1.460249504</v>
      </c>
      <c r="I47" s="14">
        <f>STDEV('Base de datos'!J177:J203)</f>
        <v>3.377050923</v>
      </c>
      <c r="J47" s="14">
        <f>STDEV('Base de datos'!K177:K203)</f>
        <v>6.414988681</v>
      </c>
      <c r="K47" s="14">
        <f>STDEV('Base de datos'!L177:L203)</f>
        <v>8.558203293</v>
      </c>
      <c r="L47" s="14">
        <f>STDEV('Base de datos'!M177:M203)</f>
        <v>7.270443068</v>
      </c>
    </row>
    <row r="48" ht="14.25" customHeight="1">
      <c r="A48" s="10" t="s">
        <v>43</v>
      </c>
      <c r="E48" s="13">
        <f>_xlfn.NORM.DIST(E$2/1.02,E46,E47,TRUE)</f>
        <v>0</v>
      </c>
      <c r="G48" s="13">
        <f>_xlfn.NORM.DIST(G$2/1.02,G46,G47,TRUE)</f>
        <v>0</v>
      </c>
      <c r="K48" s="13">
        <f>_xlfn.NORM.DIST(K$2/1.02,K46,K47,TRUE)</f>
        <v>0</v>
      </c>
    </row>
    <row r="49" ht="14.25" customHeight="1">
      <c r="A49" s="10" t="s">
        <v>44</v>
      </c>
      <c r="E49" s="13">
        <f>_xlfn.NORM.DIST(E$2*1.02,E46,E47,TRUE)</f>
        <v>0</v>
      </c>
      <c r="G49" s="13">
        <f>_xlfn.NORM.DIST(G$2*1.02,G46,G47,TRUE)</f>
        <v>0</v>
      </c>
      <c r="K49" s="13">
        <f>_xlfn.NORM.DIST(K$2*1.02,K46,K47,TRUE)</f>
        <v>0</v>
      </c>
    </row>
    <row r="50" ht="14.25" customHeight="1">
      <c r="A50" s="10" t="s">
        <v>45</v>
      </c>
      <c r="E50" s="13">
        <f>IF(E$2=0,1,E49-E48)</f>
        <v>1</v>
      </c>
      <c r="G50" s="13">
        <f>IF(G$2=0,1,G49-G48)</f>
        <v>1</v>
      </c>
      <c r="K50" s="13">
        <f>IF(K$2=0,1,K49-K48)</f>
        <v>1</v>
      </c>
      <c r="N50" s="13">
        <f>$E50*$G50*$K50</f>
        <v>1</v>
      </c>
      <c r="O50" s="13">
        <f>N50*N51</f>
        <v>1</v>
      </c>
      <c r="P50" s="13">
        <f>O50/($O$213)</f>
        <v>0.03846153846</v>
      </c>
    </row>
    <row r="51" ht="14.25" customHeight="1">
      <c r="A51" s="10" t="s">
        <v>46</v>
      </c>
      <c r="B51" s="13">
        <f>IF(OR(AND(B$2&gt;MIN('Base de datos'!C177:C203)/1.05,B$2&lt;MAX('Base de datos'!C177:C203)*1.05),B$2=0),1,0)</f>
        <v>1</v>
      </c>
      <c r="C51" s="13">
        <f>IF(OR(AND(C$2&gt;MIN('Base de datos'!D177:D203)/1.05,C$2&lt;MAX('Base de datos'!D177:D203)*1.05),C$2=0),1,0)</f>
        <v>1</v>
      </c>
      <c r="D51" s="13">
        <f>IF(OR(AND(D$2&gt;MIN('Base de datos'!E177:E203)/1.05,D$2&lt;MAX('Base de datos'!E177:E203)*1.05),D$2=0),1,0)</f>
        <v>1</v>
      </c>
      <c r="E51" s="13">
        <f>IF(OR(AND(E$2&gt;MIN('Base de datos'!F177:F203)/1.05,E$2&lt;MAX('Base de datos'!F177:F203)*1.05),E$2=0),1,0)</f>
        <v>1</v>
      </c>
      <c r="F51" s="13">
        <f>IF(OR(AND(F$2&gt;MIN('Base de datos'!G177:G203)/1.05,F$2&lt;MAX('Base de datos'!G177:G203)*1.05),F$2=0),1,0)</f>
        <v>1</v>
      </c>
      <c r="G51" s="13">
        <f>IF(OR(AND(G$2&gt;MIN('Base de datos'!H177:H203)/1.05,G$2&lt;MAX('Base de datos'!H177:H203)*1.05),G$2=0),1,0)</f>
        <v>1</v>
      </c>
      <c r="H51" s="13">
        <f>IF(OR(AND(H$2&gt;MIN('Base de datos'!I177:I203)/1.05,H$2&lt;MAX('Base de datos'!I177:I203)*1.05),H$2=0),1,0)</f>
        <v>1</v>
      </c>
      <c r="I51" s="13">
        <f>IF(OR(AND(I$2&gt;MIN('Base de datos'!J177:J203)/1.05,I$2&lt;MAX('Base de datos'!J177:J203)*1.05),I$2=0),1,0)</f>
        <v>1</v>
      </c>
      <c r="J51" s="13">
        <f>IF(OR(AND(J$2&gt;MIN('Base de datos'!K177:K203)/1.05,J$2&lt;MAX('Base de datos'!K177:K203)*1.05),J$2=0),1,0)</f>
        <v>1</v>
      </c>
      <c r="K51" s="13">
        <f>IF(OR(AND(K$2&gt;MIN('Base de datos'!L177:L203)/1.05,K$2&lt;MAX('Base de datos'!L177:L203)*1.05),K$2=0),1,0)</f>
        <v>1</v>
      </c>
      <c r="L51" s="13">
        <f>IF(OR(AND(L$2&gt;MIN('Base de datos'!M177:M203)/1.05,L$2&lt;MAX('Base de datos'!M177:M203)*1.05),L$2=0),1,0)</f>
        <v>1</v>
      </c>
      <c r="N51" s="13">
        <f>PRODUCT(B51:L51)</f>
        <v>1</v>
      </c>
    </row>
    <row r="52" ht="14.25" customHeight="1">
      <c r="B52" s="7" t="s">
        <v>0</v>
      </c>
      <c r="C52" s="7" t="s">
        <v>1</v>
      </c>
      <c r="D52" s="7" t="s">
        <v>2</v>
      </c>
      <c r="E52" s="7" t="s">
        <v>3</v>
      </c>
      <c r="F52" s="7" t="s">
        <v>4</v>
      </c>
      <c r="G52" s="7" t="s">
        <v>5</v>
      </c>
      <c r="H52" s="7" t="s">
        <v>6</v>
      </c>
      <c r="I52" s="7" t="s">
        <v>7</v>
      </c>
      <c r="J52" s="7" t="s">
        <v>8</v>
      </c>
      <c r="K52" s="7" t="s">
        <v>9</v>
      </c>
      <c r="L52" s="7" t="s">
        <v>10</v>
      </c>
      <c r="M52" s="7"/>
      <c r="N52" s="7"/>
    </row>
    <row r="53" ht="14.25" customHeight="1">
      <c r="A53" s="7" t="s">
        <v>21</v>
      </c>
      <c r="J53" s="14"/>
    </row>
    <row r="54" ht="14.25" customHeight="1">
      <c r="A54" s="8" t="s">
        <v>41</v>
      </c>
      <c r="B54" s="14">
        <f>AVERAGE('Base de datos'!C204:C252)</f>
        <v>131.9099429</v>
      </c>
      <c r="C54" s="14">
        <f>AVERAGE('Base de datos'!D204:D252)</f>
        <v>71.49846124</v>
      </c>
      <c r="D54" s="14">
        <f>AVERAGE('Base de datos'!E204:E252)</f>
        <v>160.1465515</v>
      </c>
      <c r="E54" s="14">
        <f>AVERAGE('Base de datos'!F204:F252)</f>
        <v>132.3491863</v>
      </c>
      <c r="F54" s="14">
        <f>AVERAGE('Base de datos'!G204:G252)</f>
        <v>202.3867022</v>
      </c>
      <c r="G54" s="14">
        <f>AVERAGE('Base de datos'!H204:H252)</f>
        <v>133.654129</v>
      </c>
      <c r="H54" s="14">
        <f>AVERAGE('Base de datos'!I204:I252)</f>
        <v>81.25138539</v>
      </c>
      <c r="I54" s="14">
        <f>AVERAGE('Base de datos'!J204:J252)</f>
        <v>146.8658127</v>
      </c>
      <c r="J54" s="14">
        <f>AVERAGE('Base de datos'!K204:K252)</f>
        <v>260.1776603</v>
      </c>
      <c r="K54" s="14">
        <f>AVERAGE('Base de datos'!L204:L252)</f>
        <v>340.173886</v>
      </c>
      <c r="L54" s="14">
        <f>AVERAGE('Base de datos'!M204:M252)</f>
        <v>323.8244634</v>
      </c>
    </row>
    <row r="55" ht="14.25" customHeight="1">
      <c r="A55" s="10" t="s">
        <v>42</v>
      </c>
      <c r="B55" s="14">
        <f>STDEV('Base de datos'!C204:C252)</f>
        <v>5.438732947</v>
      </c>
      <c r="C55" s="14">
        <f>STDEV('Base de datos'!D204:D252)</f>
        <v>2.808097098</v>
      </c>
      <c r="D55" s="14">
        <f>STDEV('Base de datos'!E204:E252)</f>
        <v>5.331714546</v>
      </c>
      <c r="E55" s="14">
        <f>STDEV('Base de datos'!F204:F252)</f>
        <v>3.156890739</v>
      </c>
      <c r="F55" s="14">
        <f>STDEV('Base de datos'!G204:G252)</f>
        <v>5.175265352</v>
      </c>
      <c r="G55" s="14">
        <f>STDEV('Base de datos'!H204:H252)</f>
        <v>3.864843399</v>
      </c>
      <c r="H55" s="14">
        <f>STDEV('Base de datos'!I204:I252)</f>
        <v>2.145023794</v>
      </c>
      <c r="I55" s="14">
        <f>STDEV('Base de datos'!J204:J252)</f>
        <v>3.386112539</v>
      </c>
      <c r="J55" s="14">
        <f>STDEV('Base de datos'!K204:K252)</f>
        <v>7.766352675</v>
      </c>
      <c r="K55" s="14">
        <f>STDEV('Base de datos'!L204:L252)</f>
        <v>9.271478046</v>
      </c>
      <c r="L55" s="14">
        <f>STDEV('Base de datos'!M204:M252)</f>
        <v>9.068429053</v>
      </c>
    </row>
    <row r="56" ht="14.25" customHeight="1">
      <c r="A56" s="10" t="s">
        <v>43</v>
      </c>
      <c r="E56" s="13">
        <f>_xlfn.NORM.DIST(E$2/1.02,E54,E55,TRUE)</f>
        <v>0</v>
      </c>
      <c r="G56" s="13">
        <f>_xlfn.NORM.DIST(G$2/1.02,G54,G55,TRUE)</f>
        <v>0</v>
      </c>
      <c r="K56" s="13">
        <f>_xlfn.NORM.DIST(K$2/1.02,K54,K55,TRUE)</f>
        <v>0</v>
      </c>
    </row>
    <row r="57" ht="14.25" customHeight="1">
      <c r="A57" s="10" t="s">
        <v>44</v>
      </c>
      <c r="E57" s="13">
        <f>_xlfn.NORM.DIST(E$2*1.02,E54,E55,TRUE)</f>
        <v>0</v>
      </c>
      <c r="G57" s="13">
        <f>_xlfn.NORM.DIST(G$2*1.02,G54,G55,TRUE)</f>
        <v>0</v>
      </c>
      <c r="K57" s="13">
        <f>_xlfn.NORM.DIST(K$2*1.02,K54,K55,TRUE)</f>
        <v>0</v>
      </c>
    </row>
    <row r="58" ht="14.25" customHeight="1">
      <c r="A58" s="10" t="s">
        <v>45</v>
      </c>
      <c r="E58" s="13">
        <f>IF(E$2=0,1,E57-E56)</f>
        <v>1</v>
      </c>
      <c r="G58" s="13">
        <f>IF(G$2=0,1,G57-G56)</f>
        <v>1</v>
      </c>
      <c r="K58" s="13">
        <f>IF(K$2=0,1,K57-K56)</f>
        <v>1</v>
      </c>
      <c r="N58" s="13">
        <f>$E58*$G58*$K58</f>
        <v>1</v>
      </c>
      <c r="O58" s="13">
        <f>N58*N59</f>
        <v>1</v>
      </c>
      <c r="P58" s="13">
        <f>O58/($O$213)</f>
        <v>0.03846153846</v>
      </c>
    </row>
    <row r="59" ht="14.25" customHeight="1">
      <c r="A59" s="10" t="s">
        <v>46</v>
      </c>
      <c r="B59" s="13">
        <f>IF(OR(AND(B$2&gt;MIN('Base de datos'!C204:C252)/1.05,B$2&lt;MAX('Base de datos'!C204:C252)*1.05),B$2=0),1,0)</f>
        <v>1</v>
      </c>
      <c r="C59" s="13">
        <f>IF(OR(AND(C$2&gt;MIN('Base de datos'!D204:D252)/1.05,C$2&lt;MAX('Base de datos'!D204:D252)*1.05),C$2=0),1,0)</f>
        <v>1</v>
      </c>
      <c r="D59" s="13">
        <f>IF(OR(AND(D$2&gt;MIN('Base de datos'!E204:E252)/1.05,D$2&lt;MAX('Base de datos'!E204:E252)*1.05),D$2=0),1,0)</f>
        <v>1</v>
      </c>
      <c r="E59" s="13">
        <f>IF(OR(AND(E$2&gt;MIN('Base de datos'!F204:F252)/1.05,E$2&lt;MAX('Base de datos'!F204:F252)*1.05),E$2=0),1,0)</f>
        <v>1</v>
      </c>
      <c r="F59" s="13">
        <f>IF(OR(AND(F$2&gt;MIN('Base de datos'!G204:G252)/1.05,F$2&lt;MAX('Base de datos'!G204:G252)*1.05),F$2=0),1,0)</f>
        <v>1</v>
      </c>
      <c r="G59" s="13">
        <f>IF(OR(AND(G$2&gt;MIN('Base de datos'!H204:H252)/1.05,G$2&lt;MAX('Base de datos'!H204:H252)*1.05),G$2=0),1,0)</f>
        <v>1</v>
      </c>
      <c r="H59" s="13">
        <f>IF(OR(AND(H$2&gt;MIN('Base de datos'!I204:I252)/1.05,H$2&lt;MAX('Base de datos'!I204:I252)*1.05),H$2=0),1,0)</f>
        <v>1</v>
      </c>
      <c r="I59" s="13">
        <f>IF(OR(AND(I$2&gt;MIN('Base de datos'!J204:J252)/1.05,I$2&lt;MAX('Base de datos'!J204:J252)*1.05),I$2=0),1,0)</f>
        <v>1</v>
      </c>
      <c r="J59" s="13">
        <f>IF(OR(AND(J$2&gt;MIN('Base de datos'!K204:K252)/1.05,J$2&lt;MAX('Base de datos'!K204:K252)*1.05),J$2=0),1,0)</f>
        <v>1</v>
      </c>
      <c r="K59" s="13">
        <f>IF(OR(AND(K$2&gt;MIN('Base de datos'!L204:L252)/1.05,K$2&lt;MAX('Base de datos'!L204:L252)*1.05),K$2=0),1,0)</f>
        <v>1</v>
      </c>
      <c r="L59" s="13">
        <f>IF(OR(AND(L$2&gt;MIN('Base de datos'!M204:M252)/1.05,L$2&lt;MAX('Base de datos'!M204:M252)*1.05),L$2=0),1,0)</f>
        <v>1</v>
      </c>
      <c r="N59" s="13">
        <f>PRODUCT(B59:L59)</f>
        <v>1</v>
      </c>
    </row>
    <row r="60" ht="14.25" customHeight="1">
      <c r="B60" s="7" t="s">
        <v>0</v>
      </c>
      <c r="C60" s="7" t="s">
        <v>1</v>
      </c>
      <c r="D60" s="7" t="s">
        <v>2</v>
      </c>
      <c r="E60" s="7" t="s">
        <v>3</v>
      </c>
      <c r="F60" s="7" t="s">
        <v>4</v>
      </c>
      <c r="G60" s="7" t="s">
        <v>5</v>
      </c>
      <c r="H60" s="7" t="s">
        <v>6</v>
      </c>
      <c r="I60" s="7" t="s">
        <v>7</v>
      </c>
      <c r="J60" s="7" t="s">
        <v>8</v>
      </c>
      <c r="K60" s="7" t="s">
        <v>9</v>
      </c>
      <c r="L60" s="7" t="s">
        <v>10</v>
      </c>
      <c r="M60" s="7"/>
      <c r="N60" s="7"/>
    </row>
    <row r="61" ht="14.25" customHeight="1">
      <c r="A61" s="7" t="s">
        <v>22</v>
      </c>
      <c r="J61" s="14"/>
    </row>
    <row r="62" ht="14.25" customHeight="1">
      <c r="A62" s="8" t="s">
        <v>41</v>
      </c>
      <c r="B62" s="14">
        <f>AVERAGE('Base de datos'!C253:C286)</f>
        <v>51.62863632</v>
      </c>
      <c r="C62" s="14">
        <f>AVERAGE('Base de datos'!D253:D286)</f>
        <v>35.42948442</v>
      </c>
      <c r="D62" s="14">
        <f>AVERAGE('Base de datos'!E253:E286)</f>
        <v>61.88637349</v>
      </c>
      <c r="E62" s="14">
        <f>AVERAGE('Base de datos'!F253:F286)</f>
        <v>71</v>
      </c>
      <c r="F62" s="14">
        <f>AVERAGE('Base de datos'!G253:G286)</f>
        <v>98.34411765</v>
      </c>
      <c r="G62" s="14">
        <f>AVERAGE('Base de datos'!H253:H286)</f>
        <v>60.3</v>
      </c>
      <c r="H62" s="14">
        <f>AVERAGE('Base de datos'!I253:I286)</f>
        <v>43.90140427</v>
      </c>
      <c r="I62" s="14">
        <f>AVERAGE('Base de datos'!J253:J286)</f>
        <v>75.17638439</v>
      </c>
      <c r="J62" s="14">
        <f>AVERAGE('Base de datos'!K253:K286)</f>
        <v>104.9088235</v>
      </c>
      <c r="K62" s="14">
        <f>AVERAGE('Base de datos'!L253:L286)</f>
        <v>130.2676471</v>
      </c>
      <c r="L62" s="14">
        <f>AVERAGE('Base de datos'!M253:M286)</f>
        <v>123.5695329</v>
      </c>
    </row>
    <row r="63" ht="14.25" customHeight="1">
      <c r="A63" s="10" t="s">
        <v>42</v>
      </c>
      <c r="B63" s="14">
        <f>STDEV('Base de datos'!C253:C286)</f>
        <v>2.719132737</v>
      </c>
      <c r="C63" s="14">
        <f>STDEV('Base de datos'!D253:D286)</f>
        <v>2.062429446</v>
      </c>
      <c r="D63" s="14">
        <f>STDEV('Base de datos'!E253:E286)</f>
        <v>3.740763662</v>
      </c>
      <c r="E63" s="14">
        <f>STDEV('Base de datos'!F253:F286)</f>
        <v>3.554851572</v>
      </c>
      <c r="F63" s="14">
        <f>STDEV('Base de datos'!G253:G286)</f>
        <v>4.318402565</v>
      </c>
      <c r="G63" s="14">
        <f>STDEV('Base de datos'!H253:H286)</f>
        <v>3.350350502</v>
      </c>
      <c r="H63" s="14">
        <f>STDEV('Base de datos'!I253:I286)</f>
        <v>1.620616078</v>
      </c>
      <c r="I63" s="14">
        <f>STDEV('Base de datos'!J253:J286)</f>
        <v>3.233349958</v>
      </c>
      <c r="J63" s="14">
        <f>STDEV('Base de datos'!K253:K286)</f>
        <v>5.487913311</v>
      </c>
      <c r="K63" s="14">
        <f>STDEV('Base de datos'!L253:L286)</f>
        <v>6.706881161</v>
      </c>
      <c r="L63" s="14">
        <f>STDEV('Base de datos'!M253:M286)</f>
        <v>6.913039896</v>
      </c>
    </row>
    <row r="64" ht="14.25" customHeight="1">
      <c r="A64" s="10" t="s">
        <v>43</v>
      </c>
      <c r="E64" s="13">
        <f>_xlfn.NORM.DIST(E$2/1.02,E62,E63,TRUE)</f>
        <v>0</v>
      </c>
      <c r="G64" s="13">
        <f>_xlfn.NORM.DIST(G$2/1.02,G62,G63,TRUE)</f>
        <v>0</v>
      </c>
      <c r="K64" s="13">
        <f>_xlfn.NORM.DIST(K$2/1.02,K62,K63,TRUE)</f>
        <v>0</v>
      </c>
    </row>
    <row r="65" ht="14.25" customHeight="1">
      <c r="A65" s="10" t="s">
        <v>44</v>
      </c>
      <c r="E65" s="13">
        <f>_xlfn.NORM.DIST(E$2*1.02,E62,E63,TRUE)</f>
        <v>0</v>
      </c>
      <c r="G65" s="13">
        <f>_xlfn.NORM.DIST(G$2*1.02,G62,G63,TRUE)</f>
        <v>0</v>
      </c>
      <c r="K65" s="13">
        <f>_xlfn.NORM.DIST(K$2*1.02,K62,K63,TRUE)</f>
        <v>0</v>
      </c>
    </row>
    <row r="66" ht="14.25" customHeight="1">
      <c r="A66" s="10" t="s">
        <v>45</v>
      </c>
      <c r="E66" s="13">
        <f>IF(E$2=0,1,E65-E64)</f>
        <v>1</v>
      </c>
      <c r="G66" s="13">
        <f>IF(G$2=0,1,G65-G64)</f>
        <v>1</v>
      </c>
      <c r="K66" s="13">
        <f>IF(K$2=0,1,K65-K64)</f>
        <v>1</v>
      </c>
      <c r="N66" s="13">
        <f>$E66*$G66*$K66</f>
        <v>1</v>
      </c>
      <c r="O66" s="13">
        <f>N66*N67</f>
        <v>1</v>
      </c>
      <c r="P66" s="13">
        <f>O66/($O$213)</f>
        <v>0.03846153846</v>
      </c>
    </row>
    <row r="67" ht="14.25" customHeight="1">
      <c r="A67" s="10" t="s">
        <v>46</v>
      </c>
      <c r="B67" s="13">
        <f>IF(OR(AND(B$2&gt;MIN('Base de datos'!C253:C286)/1.05,B$2&lt;MAX('Base de datos'!C253:C286)*1.05),B$2=0),1,0)</f>
        <v>1</v>
      </c>
      <c r="C67" s="13">
        <f>IF(OR(AND(C$2&gt;MIN('Base de datos'!D253:D286)/1.05,C$2&lt;MAX('Base de datos'!D253:D286)*1.05),C$2=0),1,0)</f>
        <v>1</v>
      </c>
      <c r="D67" s="13">
        <f>IF(OR(AND(D$2&gt;MIN('Base de datos'!E253:E286)/1.05,D$2&lt;MAX('Base de datos'!E253:E286)*1.05),D$2=0),1,0)</f>
        <v>1</v>
      </c>
      <c r="E67" s="13">
        <f>IF(OR(AND(E$2&gt;MIN('Base de datos'!F253:F286)/1.05,E$2&lt;MAX('Base de datos'!F253:F286)*1.05),E$2=0),1,0)</f>
        <v>1</v>
      </c>
      <c r="F67" s="13">
        <f>IF(OR(AND(F$2&gt;MIN('Base de datos'!G253:G286)/1.05,F$2&lt;MAX('Base de datos'!G253:G286)*1.05),F$2=0),1,0)</f>
        <v>1</v>
      </c>
      <c r="G67" s="13">
        <f>IF(OR(AND(G$2&gt;MIN('Base de datos'!H253:H286)/1.05,G$2&lt;MAX('Base de datos'!H253:H286)*1.05),G$2=0),1,0)</f>
        <v>1</v>
      </c>
      <c r="H67" s="13">
        <f>IF(OR(AND(H$2&gt;MIN('Base de datos'!I253:I286)/1.05,H$2&lt;MAX('Base de datos'!I253:I286)*1.05),H$2=0),1,0)</f>
        <v>1</v>
      </c>
      <c r="I67" s="13">
        <f>IF(OR(AND(I$2&gt;MIN('Base de datos'!J253:J286)/1.05,I$2&lt;MAX('Base de datos'!J253:J286)*1.05),I$2=0),1,0)</f>
        <v>1</v>
      </c>
      <c r="J67" s="13">
        <f>IF(OR(AND(J$2&gt;MIN('Base de datos'!K253:K286)/1.05,J$2&lt;MAX('Base de datos'!K253:K286)*1.05),J$2=0),1,0)</f>
        <v>1</v>
      </c>
      <c r="K67" s="13">
        <f>IF(OR(AND(K$2&gt;MIN('Base de datos'!L253:L286)/1.05,K$2&lt;MAX('Base de datos'!L253:L286)*1.05),K$2=0),1,0)</f>
        <v>1</v>
      </c>
      <c r="L67" s="13">
        <f>IF(OR(AND(L$2&gt;MIN('Base de datos'!M253:M286)/1.05,L$2&lt;MAX('Base de datos'!M253:M286)*1.05),L$2=0),1,0)</f>
        <v>1</v>
      </c>
      <c r="N67" s="13">
        <f>PRODUCT(B67:L67)</f>
        <v>1</v>
      </c>
    </row>
    <row r="68" ht="14.25" customHeight="1">
      <c r="B68" s="7" t="s">
        <v>0</v>
      </c>
      <c r="C68" s="7" t="s">
        <v>1</v>
      </c>
      <c r="D68" s="7" t="s">
        <v>2</v>
      </c>
      <c r="E68" s="7" t="s">
        <v>3</v>
      </c>
      <c r="F68" s="7" t="s">
        <v>4</v>
      </c>
      <c r="G68" s="7" t="s">
        <v>5</v>
      </c>
      <c r="H68" s="7" t="s">
        <v>6</v>
      </c>
      <c r="I68" s="7" t="s">
        <v>7</v>
      </c>
      <c r="J68" s="7" t="s">
        <v>8</v>
      </c>
      <c r="K68" s="7" t="s">
        <v>9</v>
      </c>
      <c r="L68" s="7" t="s">
        <v>10</v>
      </c>
      <c r="M68" s="7"/>
      <c r="N68" s="7"/>
    </row>
    <row r="69" ht="14.25" customHeight="1">
      <c r="A69" s="7" t="s">
        <v>23</v>
      </c>
      <c r="J69" s="14"/>
    </row>
    <row r="70" ht="14.25" customHeight="1">
      <c r="A70" s="8" t="s">
        <v>41</v>
      </c>
      <c r="B70" s="14">
        <f>AVERAGE('Base de datos'!C287:C313)</f>
        <v>27.23123055</v>
      </c>
      <c r="C70" s="14">
        <f>AVERAGE('Base de datos'!D287:D313)</f>
        <v>20.38940625</v>
      </c>
      <c r="D70" s="14">
        <f>AVERAGE('Base de datos'!E287:E313)</f>
        <v>30.39305647</v>
      </c>
      <c r="E70" s="14">
        <f>AVERAGE('Base de datos'!F287:F313)</f>
        <v>34.59413978</v>
      </c>
      <c r="F70" s="14">
        <f>AVERAGE('Base de datos'!G287:G313)</f>
        <v>45.95605834</v>
      </c>
      <c r="G70" s="14">
        <f>AVERAGE('Base de datos'!H287:H313)</f>
        <v>29.91196282</v>
      </c>
      <c r="H70" s="14">
        <f>AVERAGE('Base de datos'!I287:I313)</f>
        <v>23.90005126</v>
      </c>
      <c r="I70" s="14">
        <f>AVERAGE('Base de datos'!J287:J313)</f>
        <v>40.72196807</v>
      </c>
      <c r="J70" s="14">
        <f>AVERAGE('Base de datos'!K287:K313)</f>
        <v>47.43589696</v>
      </c>
      <c r="K70" s="14">
        <f>AVERAGE('Base de datos'!L287:L313)</f>
        <v>53.97037037</v>
      </c>
      <c r="L70" s="14">
        <f>AVERAGE('Base de datos'!M287:M313)</f>
        <v>50.17082028</v>
      </c>
    </row>
    <row r="71" ht="14.25" customHeight="1">
      <c r="A71" s="10" t="s">
        <v>42</v>
      </c>
      <c r="B71" s="14">
        <f>STDEV('Base de datos'!C287:C313)</f>
        <v>1.442486463</v>
      </c>
      <c r="C71" s="14">
        <f>STDEV('Base de datos'!D287:D313)</f>
        <v>0.9420538365</v>
      </c>
      <c r="D71" s="14">
        <f>STDEV('Base de datos'!E287:E313)</f>
        <v>2.707576119</v>
      </c>
      <c r="E71" s="14">
        <f>STDEV('Base de datos'!F287:F313)</f>
        <v>1.396249332</v>
      </c>
      <c r="F71" s="14">
        <f>STDEV('Base de datos'!G287:G313)</f>
        <v>1.951673351</v>
      </c>
      <c r="G71" s="14">
        <f>STDEV('Base de datos'!H287:H313)</f>
        <v>1.397308973</v>
      </c>
      <c r="H71" s="14">
        <f>STDEV('Base de datos'!I287:I313)</f>
        <v>1.366965561</v>
      </c>
      <c r="I71" s="14">
        <f>STDEV('Base de datos'!J287:J313)</f>
        <v>1.346636983</v>
      </c>
      <c r="J71" s="14">
        <f>STDEV('Base de datos'!K287:K313)</f>
        <v>1.97464699</v>
      </c>
      <c r="K71" s="14">
        <f>STDEV('Base de datos'!L287:L313)</f>
        <v>2.599676728</v>
      </c>
      <c r="L71" s="14">
        <f>STDEV('Base de datos'!M287:M313)</f>
        <v>2.105556881</v>
      </c>
    </row>
    <row r="72" ht="14.25" customHeight="1">
      <c r="A72" s="10" t="s">
        <v>43</v>
      </c>
      <c r="E72" s="13">
        <f>_xlfn.NORM.DIST(E$2/1.02,E70,E71,TRUE)</f>
        <v>0</v>
      </c>
      <c r="G72" s="13">
        <f>_xlfn.NORM.DIST(G$2/1.02,G70,G71,TRUE)</f>
        <v>0</v>
      </c>
      <c r="K72" s="13">
        <f>_xlfn.NORM.DIST(K$2/1.02,K70,K71,TRUE)</f>
        <v>0</v>
      </c>
    </row>
    <row r="73" ht="14.25" customHeight="1">
      <c r="A73" s="10" t="s">
        <v>44</v>
      </c>
      <c r="E73" s="13">
        <f>_xlfn.NORM.DIST(E$2*1.02,E70,E71,TRUE)</f>
        <v>0</v>
      </c>
      <c r="G73" s="13">
        <f>_xlfn.NORM.DIST(G$2*1.02,G70,G71,TRUE)</f>
        <v>0</v>
      </c>
      <c r="K73" s="13">
        <f>_xlfn.NORM.DIST(K$2*1.02,K70,K71,TRUE)</f>
        <v>0</v>
      </c>
    </row>
    <row r="74" ht="14.25" customHeight="1">
      <c r="A74" s="10" t="s">
        <v>45</v>
      </c>
      <c r="E74" s="13">
        <f>IF(E$2=0,1,E73-E72)</f>
        <v>1</v>
      </c>
      <c r="G74" s="13">
        <f>IF(G$2=0,1,G73-G72)</f>
        <v>1</v>
      </c>
      <c r="K74" s="13">
        <f>IF(K$2=0,1,K73-K72)</f>
        <v>1</v>
      </c>
      <c r="N74" s="13">
        <f>$E74*$G74*$K74</f>
        <v>1</v>
      </c>
      <c r="O74" s="13">
        <f>N74*N75</f>
        <v>1</v>
      </c>
      <c r="P74" s="13">
        <f>O74/($O$213)</f>
        <v>0.03846153846</v>
      </c>
    </row>
    <row r="75" ht="14.25" customHeight="1">
      <c r="A75" s="10" t="s">
        <v>46</v>
      </c>
      <c r="B75" s="13">
        <f>IF(OR(AND(B$2&gt;MIN('Base de datos'!C287:C313)/1.05,B$2&lt;MAX('Base de datos'!C287:C313)*1.05),B$2=0),1,0)</f>
        <v>1</v>
      </c>
      <c r="C75" s="13">
        <f>IF(OR(AND(C$2&gt;MIN('Base de datos'!D287:D313)/1.05,C$2&lt;MAX('Base de datos'!D287:D313)*1.05),C$2=0),1,0)</f>
        <v>1</v>
      </c>
      <c r="D75" s="13">
        <f>IF(OR(AND(D$2&gt;MIN('Base de datos'!E287:E313)/1.05,D$2&lt;MAX('Base de datos'!E287:E313)*1.05),D$2=0),1,0)</f>
        <v>1</v>
      </c>
      <c r="E75" s="13">
        <f>IF(OR(AND(E$2&gt;MIN('Base de datos'!F287:F313)/1.05,E$2&lt;MAX('Base de datos'!F287:F313)*1.05),E$2=0),1,0)</f>
        <v>1</v>
      </c>
      <c r="F75" s="13">
        <f>IF(OR(AND(F$2&gt;MIN('Base de datos'!G287:G313)/1.05,F$2&lt;MAX('Base de datos'!G287:G313)*1.05),F$2=0),1,0)</f>
        <v>1</v>
      </c>
      <c r="G75" s="13">
        <f>IF(OR(AND(G$2&gt;MIN('Base de datos'!H287:H313)/1.05,G$2&lt;MAX('Base de datos'!H287:H313)*1.05),G$2=0),1,0)</f>
        <v>1</v>
      </c>
      <c r="H75" s="13">
        <f>IF(OR(AND(H$2&gt;MIN('Base de datos'!I287:I313)/1.05,H$2&lt;MAX('Base de datos'!I287:I313)*1.05),H$2=0),1,0)</f>
        <v>1</v>
      </c>
      <c r="I75" s="13">
        <f>IF(OR(AND(I$2&gt;MIN('Base de datos'!J287:J313)/1.05,I$2&lt;MAX('Base de datos'!J287:J313)*1.05),I$2=0),1,0)</f>
        <v>1</v>
      </c>
      <c r="J75" s="13">
        <f>IF(OR(AND(J$2&gt;MIN('Base de datos'!K287:K313)/1.05,J$2&lt;MAX('Base de datos'!K287:K313)*1.05),J$2=0),1,0)</f>
        <v>1</v>
      </c>
      <c r="K75" s="13">
        <f>IF(OR(AND(K$2&gt;MIN('Base de datos'!L287:L313)/1.05,K$2&lt;MAX('Base de datos'!L287:L313)*1.05),K$2=0),1,0)</f>
        <v>1</v>
      </c>
      <c r="L75" s="13">
        <f>IF(OR(AND(L$2&gt;MIN('Base de datos'!M287:M313)/1.05,L$2&lt;MAX('Base de datos'!M287:M313)*1.05),L$2=0),1,0)</f>
        <v>1</v>
      </c>
      <c r="N75" s="13">
        <f>PRODUCT(B75:L75)</f>
        <v>1</v>
      </c>
    </row>
    <row r="76" ht="14.25" customHeight="1">
      <c r="B76" s="7" t="s">
        <v>0</v>
      </c>
      <c r="C76" s="7" t="s">
        <v>1</v>
      </c>
      <c r="D76" s="7" t="s">
        <v>2</v>
      </c>
      <c r="E76" s="7" t="s">
        <v>3</v>
      </c>
      <c r="F76" s="7" t="s">
        <v>4</v>
      </c>
      <c r="G76" s="7" t="s">
        <v>5</v>
      </c>
      <c r="H76" s="7" t="s">
        <v>6</v>
      </c>
      <c r="I76" s="7" t="s">
        <v>7</v>
      </c>
      <c r="J76" s="7" t="s">
        <v>8</v>
      </c>
      <c r="K76" s="7" t="s">
        <v>9</v>
      </c>
      <c r="L76" s="7" t="s">
        <v>10</v>
      </c>
      <c r="M76" s="7"/>
      <c r="N76" s="7"/>
    </row>
    <row r="77" ht="14.25" customHeight="1">
      <c r="A77" s="7" t="s">
        <v>24</v>
      </c>
      <c r="J77" s="14"/>
    </row>
    <row r="78" ht="14.25" customHeight="1">
      <c r="A78" s="8" t="s">
        <v>41</v>
      </c>
      <c r="B78" s="14">
        <f>AVERAGE('Base de datos'!C314:C346)</f>
        <v>29.97504188</v>
      </c>
      <c r="C78" s="14">
        <f>AVERAGE('Base de datos'!D314:D346)</f>
        <v>23.63030303</v>
      </c>
      <c r="D78" s="14">
        <f>AVERAGE('Base de datos'!E314:E346)</f>
        <v>35.73514105</v>
      </c>
      <c r="E78" s="14">
        <f>AVERAGE('Base de datos'!F314:F346)</f>
        <v>43.75151515</v>
      </c>
      <c r="F78" s="14">
        <f>AVERAGE('Base de datos'!G314:G346)</f>
        <v>58.49281607</v>
      </c>
      <c r="G78" s="14">
        <f>AVERAGE('Base de datos'!H314:H346)</f>
        <v>39.83030303</v>
      </c>
      <c r="H78" s="14">
        <f>AVERAGE('Base de datos'!I314:I346)</f>
        <v>29.38527021</v>
      </c>
      <c r="I78" s="14">
        <f>AVERAGE('Base de datos'!J314:J346)</f>
        <v>47.59397683</v>
      </c>
      <c r="J78" s="14">
        <f>AVERAGE('Base de datos'!K314:K346)</f>
        <v>52.46559227</v>
      </c>
      <c r="K78" s="14">
        <f>AVERAGE('Base de datos'!L314:L346)</f>
        <v>60.10909091</v>
      </c>
      <c r="L78" s="14">
        <f>AVERAGE('Base de datos'!M314:M346)</f>
        <v>55.8</v>
      </c>
    </row>
    <row r="79" ht="14.25" customHeight="1">
      <c r="A79" s="10" t="s">
        <v>42</v>
      </c>
      <c r="B79" s="14">
        <f>STDEV('Base de datos'!C314:C346)</f>
        <v>1.199005052</v>
      </c>
      <c r="C79" s="14">
        <f>STDEV('Base de datos'!D314:D346)</f>
        <v>1.11928684</v>
      </c>
      <c r="D79" s="14">
        <f>STDEV('Base de datos'!E314:E346)</f>
        <v>1.752965897</v>
      </c>
      <c r="E79" s="14">
        <f>STDEV('Base de datos'!F314:F346)</f>
        <v>1.194288808</v>
      </c>
      <c r="F79" s="14">
        <f>STDEV('Base de datos'!G314:G346)</f>
        <v>1.83581191</v>
      </c>
      <c r="G79" s="14">
        <f>STDEV('Base de datos'!H314:H346)</f>
        <v>1.436463724</v>
      </c>
      <c r="H79" s="14">
        <f>STDEV('Base de datos'!I314:I346)</f>
        <v>0.7458161262</v>
      </c>
      <c r="I79" s="14">
        <f>STDEV('Base de datos'!J314:J346)</f>
        <v>1.6837118</v>
      </c>
      <c r="J79" s="14">
        <f>STDEV('Base de datos'!K314:K346)</f>
        <v>1.842729097</v>
      </c>
      <c r="K79" s="14">
        <f>STDEV('Base de datos'!L314:L346)</f>
        <v>2.345789264</v>
      </c>
      <c r="L79" s="14">
        <f>STDEV('Base de datos'!M314:M346)</f>
        <v>2.341740805</v>
      </c>
    </row>
    <row r="80" ht="14.25" customHeight="1">
      <c r="A80" s="10" t="s">
        <v>43</v>
      </c>
      <c r="E80" s="13">
        <f>_xlfn.NORM.DIST(E$2/1.02,E78,E79,TRUE)</f>
        <v>0</v>
      </c>
      <c r="G80" s="13">
        <f>_xlfn.NORM.DIST(G$2/1.02,G78,G79,TRUE)</f>
        <v>0</v>
      </c>
      <c r="K80" s="13">
        <f>_xlfn.NORM.DIST(K$2/1.02,K78,K79,TRUE)</f>
        <v>0</v>
      </c>
    </row>
    <row r="81" ht="14.25" customHeight="1">
      <c r="A81" s="10" t="s">
        <v>44</v>
      </c>
      <c r="E81" s="13">
        <f>_xlfn.NORM.DIST(E$2*1.02,E78,E79,TRUE)</f>
        <v>0</v>
      </c>
      <c r="G81" s="13">
        <f>_xlfn.NORM.DIST(G$2*1.02,G78,G79,TRUE)</f>
        <v>0</v>
      </c>
      <c r="K81" s="13">
        <f>_xlfn.NORM.DIST(K$2*1.02,K78,K79,TRUE)</f>
        <v>0</v>
      </c>
    </row>
    <row r="82" ht="14.25" customHeight="1">
      <c r="A82" s="10" t="s">
        <v>45</v>
      </c>
      <c r="E82" s="13">
        <f>IF(E$2=0,1,E81-E80)</f>
        <v>1</v>
      </c>
      <c r="G82" s="13">
        <f>IF(G$2=0,1,G81-G80)</f>
        <v>1</v>
      </c>
      <c r="K82" s="13">
        <f>IF(K$2=0,1,K81-K80)</f>
        <v>1</v>
      </c>
      <c r="N82" s="13">
        <f>$E82*$G82*$K82</f>
        <v>1</v>
      </c>
      <c r="O82" s="13">
        <f>N82*N83</f>
        <v>1</v>
      </c>
      <c r="P82" s="13">
        <f>O82/($O$213)</f>
        <v>0.03846153846</v>
      </c>
    </row>
    <row r="83" ht="14.25" customHeight="1">
      <c r="A83" s="10" t="s">
        <v>46</v>
      </c>
      <c r="B83" s="13">
        <f>IF(OR(AND(B$2&gt;MIN('Base de datos'!C314:C346)/1.05,B$2&lt;MAX('Base de datos'!C314:C346)*1.05),B$2=0),1,0)</f>
        <v>1</v>
      </c>
      <c r="C83" s="13">
        <f>IF(OR(AND(C$2&gt;MIN('Base de datos'!D314:D346)/1.05,C$2&lt;MAX('Base de datos'!D314:D346)*1.05),C$2=0),1,0)</f>
        <v>1</v>
      </c>
      <c r="D83" s="13">
        <f>IF(OR(AND(D$2&gt;MIN('Base de datos'!E314:E346)/1.05,D$2&lt;MAX('Base de datos'!E314:E346)*1.05),D$2=0),1,0)</f>
        <v>1</v>
      </c>
      <c r="E83" s="13">
        <f>IF(OR(AND(E$2&gt;MIN('Base de datos'!F314:F346)/1.05,E$2&lt;MAX('Base de datos'!F314:F346)*1.05),E$2=0),1,0)</f>
        <v>1</v>
      </c>
      <c r="F83" s="13">
        <f>IF(OR(AND(F$2&gt;MIN('Base de datos'!G314:G346)/1.05,F$2&lt;MAX('Base de datos'!G314:G346)*1.05),F$2=0),1,0)</f>
        <v>1</v>
      </c>
      <c r="G83" s="13">
        <f>IF(OR(AND(G$2&gt;MIN('Base de datos'!H314:H346)/1.05,G$2&lt;MAX('Base de datos'!H314:H346)*1.05),G$2=0),1,0)</f>
        <v>1</v>
      </c>
      <c r="H83" s="13">
        <f>IF(OR(AND(H$2&gt;MIN('Base de datos'!I314:I346)/1.05,H$2&lt;MAX('Base de datos'!I314:I346)*1.05),H$2=0),1,0)</f>
        <v>1</v>
      </c>
      <c r="I83" s="13">
        <f>IF(OR(AND(I$2&gt;MIN('Base de datos'!J314:J346)/1.05,I$2&lt;MAX('Base de datos'!J314:J346)*1.05),I$2=0),1,0)</f>
        <v>1</v>
      </c>
      <c r="J83" s="13">
        <f>IF(OR(AND(J$2&gt;MIN('Base de datos'!K314:K346)/1.05,J$2&lt;MAX('Base de datos'!K314:K346)*1.05),J$2=0),1,0)</f>
        <v>1</v>
      </c>
      <c r="K83" s="13">
        <f>IF(OR(AND(K$2&gt;MIN('Base de datos'!L314:L346)/1.05,K$2&lt;MAX('Base de datos'!L314:L346)*1.05),K$2=0),1,0)</f>
        <v>1</v>
      </c>
      <c r="L83" s="13">
        <f>IF(OR(AND(L$2&gt;MIN('Base de datos'!M314:M346)/1.05,L$2&lt;MAX('Base de datos'!M314:M346)*1.05),L$2=0),1,0)</f>
        <v>1</v>
      </c>
      <c r="N83" s="13">
        <f>PRODUCT(B83:L83)</f>
        <v>1</v>
      </c>
    </row>
    <row r="84" ht="14.25" customHeight="1">
      <c r="B84" s="7" t="s">
        <v>0</v>
      </c>
      <c r="C84" s="7" t="s">
        <v>1</v>
      </c>
      <c r="D84" s="7" t="s">
        <v>2</v>
      </c>
      <c r="E84" s="7" t="s">
        <v>3</v>
      </c>
      <c r="F84" s="7" t="s">
        <v>4</v>
      </c>
      <c r="G84" s="7" t="s">
        <v>5</v>
      </c>
      <c r="H84" s="7" t="s">
        <v>6</v>
      </c>
      <c r="I84" s="7" t="s">
        <v>7</v>
      </c>
      <c r="J84" s="7" t="s">
        <v>8</v>
      </c>
      <c r="K84" s="7" t="s">
        <v>9</v>
      </c>
      <c r="L84" s="7" t="s">
        <v>10</v>
      </c>
      <c r="M84" s="7"/>
      <c r="N84" s="7"/>
    </row>
    <row r="85" ht="14.25" customHeight="1">
      <c r="A85" s="7" t="s">
        <v>25</v>
      </c>
      <c r="J85" s="14"/>
    </row>
    <row r="86" ht="14.25" customHeight="1">
      <c r="A86" s="8" t="s">
        <v>41</v>
      </c>
      <c r="B86" s="14">
        <f>AVERAGE('Base de datos'!C347:C377)</f>
        <v>52.34029531</v>
      </c>
      <c r="C86" s="14">
        <f>AVERAGE('Base de datos'!D347:D377)</f>
        <v>34.41102932</v>
      </c>
      <c r="D86" s="14">
        <f>AVERAGE('Base de datos'!E347:E377)</f>
        <v>60.8673771</v>
      </c>
      <c r="E86" s="14">
        <f>AVERAGE('Base de datos'!F347:F377)</f>
        <v>72.6375274</v>
      </c>
      <c r="F86" s="14">
        <f>AVERAGE('Base de datos'!G347:G377)</f>
        <v>109.1134984</v>
      </c>
      <c r="G86" s="14">
        <f>AVERAGE('Base de datos'!H347:H377)</f>
        <v>86.9212391</v>
      </c>
      <c r="H86" s="14">
        <f>AVERAGE('Base de datos'!I347:I377)</f>
        <v>40.19638198</v>
      </c>
      <c r="I86" s="14">
        <f>AVERAGE('Base de datos'!J347:J377)</f>
        <v>71.07391182</v>
      </c>
      <c r="J86" s="14">
        <f>AVERAGE('Base de datos'!K347:K377)</f>
        <v>106.1491801</v>
      </c>
      <c r="K86" s="14">
        <f>AVERAGE('Base de datos'!L347:L377)</f>
        <v>124.5035312</v>
      </c>
      <c r="L86" s="14">
        <f>AVERAGE('Base de datos'!M347:M377)</f>
        <v>118.2908952</v>
      </c>
    </row>
    <row r="87" ht="14.25" customHeight="1">
      <c r="A87" s="10" t="s">
        <v>42</v>
      </c>
      <c r="B87" s="14">
        <f>STDEV('Base de datos'!C347:C377)</f>
        <v>3.082106875</v>
      </c>
      <c r="C87" s="14">
        <f>STDEV('Base de datos'!D347:D377)</f>
        <v>1.914211838</v>
      </c>
      <c r="D87" s="14">
        <f>STDEV('Base de datos'!E347:E377)</f>
        <v>3.986944543</v>
      </c>
      <c r="E87" s="14">
        <f>STDEV('Base de datos'!F347:F377)</f>
        <v>3.493064293</v>
      </c>
      <c r="F87" s="14">
        <f>STDEV('Base de datos'!G347:G377)</f>
        <v>5.041087068</v>
      </c>
      <c r="G87" s="14">
        <f>STDEV('Base de datos'!H347:H377)</f>
        <v>3.654424202</v>
      </c>
      <c r="H87" s="14">
        <f>STDEV('Base de datos'!I347:I377)</f>
        <v>1.100817918</v>
      </c>
      <c r="I87" s="14">
        <f>STDEV('Base de datos'!J347:J377)</f>
        <v>3.470033439</v>
      </c>
      <c r="J87" s="14">
        <f>STDEV('Base de datos'!K347:K377)</f>
        <v>4.96609781</v>
      </c>
      <c r="K87" s="14">
        <f>STDEV('Base de datos'!L347:L377)</f>
        <v>5.498377335</v>
      </c>
      <c r="L87" s="14">
        <f>STDEV('Base de datos'!M347:M377)</f>
        <v>5.229698913</v>
      </c>
    </row>
    <row r="88" ht="14.25" customHeight="1">
      <c r="A88" s="10" t="s">
        <v>43</v>
      </c>
      <c r="E88" s="13">
        <f>_xlfn.NORM.DIST(E$2/1.02,E86,E87,TRUE)</f>
        <v>0</v>
      </c>
      <c r="G88" s="13">
        <f>_xlfn.NORM.DIST(G$2/1.02,G86,G87,TRUE)</f>
        <v>0</v>
      </c>
      <c r="K88" s="13">
        <f>_xlfn.NORM.DIST(K$2/1.02,K86,K87,TRUE)</f>
        <v>0</v>
      </c>
    </row>
    <row r="89" ht="14.25" customHeight="1">
      <c r="A89" s="10" t="s">
        <v>44</v>
      </c>
      <c r="E89" s="13">
        <f>_xlfn.NORM.DIST(E$2*1.02,E86,E87,TRUE)</f>
        <v>0</v>
      </c>
      <c r="G89" s="13">
        <f>_xlfn.NORM.DIST(G$2*1.02,G86,G87,TRUE)</f>
        <v>0</v>
      </c>
      <c r="K89" s="13">
        <f>_xlfn.NORM.DIST(K$2*1.02,K86,K87,TRUE)</f>
        <v>0</v>
      </c>
    </row>
    <row r="90" ht="14.25" customHeight="1">
      <c r="A90" s="10" t="s">
        <v>45</v>
      </c>
      <c r="E90" s="13">
        <f>IF(E$2=0,1,E89-E88)</f>
        <v>1</v>
      </c>
      <c r="G90" s="13">
        <f>IF(G$2=0,1,G89-G88)</f>
        <v>1</v>
      </c>
      <c r="K90" s="13">
        <f>IF(K$2=0,1,K89-K88)</f>
        <v>1</v>
      </c>
      <c r="N90" s="13">
        <f>$E90*$G90*$K90</f>
        <v>1</v>
      </c>
      <c r="O90" s="13">
        <f>N90*N91</f>
        <v>1</v>
      </c>
      <c r="P90" s="13">
        <f>O90/($O$213)</f>
        <v>0.03846153846</v>
      </c>
    </row>
    <row r="91" ht="14.25" customHeight="1">
      <c r="A91" s="10" t="s">
        <v>46</v>
      </c>
      <c r="B91" s="13">
        <f>IF(OR(AND(B$2&gt;MIN('Base de datos'!C347:C377)/1.05,B$2&lt;MAX('Base de datos'!C347:C377)*1.05),B$2=0),1,0)</f>
        <v>1</v>
      </c>
      <c r="C91" s="13">
        <f>IF(OR(AND(C$2&gt;MIN('Base de datos'!D347:D377)/1.05,C$2&lt;MAX('Base de datos'!D347:D377)*1.05),C$2=0),1,0)</f>
        <v>1</v>
      </c>
      <c r="D91" s="13">
        <f>IF(OR(AND(D$2&gt;MIN('Base de datos'!E347:E377)/1.05,D$2&lt;MAX('Base de datos'!E347:E377)*1.05),D$2=0),1,0)</f>
        <v>1</v>
      </c>
      <c r="E91" s="13">
        <f>IF(OR(AND(E$2&gt;MIN('Base de datos'!F347:F377)/1.05,E$2&lt;MAX('Base de datos'!F347:F377)*1.05),E$2=0),1,0)</f>
        <v>1</v>
      </c>
      <c r="F91" s="13">
        <f>IF(OR(AND(F$2&gt;MIN('Base de datos'!G347:G377)/1.05,F$2&lt;MAX('Base de datos'!G347:G377)*1.05),F$2=0),1,0)</f>
        <v>1</v>
      </c>
      <c r="G91" s="13">
        <f>IF(OR(AND(G$2&gt;MIN('Base de datos'!H347:H377)/1.05,G$2&lt;MAX('Base de datos'!H347:H377)*1.05),G$2=0),1,0)</f>
        <v>1</v>
      </c>
      <c r="H91" s="13">
        <f>IF(OR(AND(H$2&gt;MIN('Base de datos'!I347:I377)/1.05,H$2&lt;MAX('Base de datos'!I347:I377)*1.05),H$2=0),1,0)</f>
        <v>1</v>
      </c>
      <c r="I91" s="13">
        <f>IF(OR(AND(I$2&gt;MIN('Base de datos'!J347:J377)/1.05,I$2&lt;MAX('Base de datos'!J347:J377)*1.05),I$2=0),1,0)</f>
        <v>1</v>
      </c>
      <c r="J91" s="13">
        <f>IF(OR(AND(J$2&gt;MIN('Base de datos'!K347:K377)/1.05,J$2&lt;MAX('Base de datos'!K347:K377)*1.05),J$2=0),1,0)</f>
        <v>1</v>
      </c>
      <c r="K91" s="13">
        <f>IF(OR(AND(K$2&gt;MIN('Base de datos'!L347:L377)/1.05,K$2&lt;MAX('Base de datos'!L347:L377)*1.05),K$2=0),1,0)</f>
        <v>1</v>
      </c>
      <c r="L91" s="13">
        <f>IF(OR(AND(L$2&gt;MIN('Base de datos'!M347:M377)/1.05,L$2&lt;MAX('Base de datos'!M347:M377)*1.05),L$2=0),1,0)</f>
        <v>1</v>
      </c>
      <c r="N91" s="13">
        <f>PRODUCT(B91:L91)</f>
        <v>1</v>
      </c>
    </row>
    <row r="92" ht="14.25" customHeight="1">
      <c r="B92" s="7" t="s">
        <v>0</v>
      </c>
      <c r="C92" s="7" t="s">
        <v>1</v>
      </c>
      <c r="D92" s="7" t="s">
        <v>2</v>
      </c>
      <c r="E92" s="7" t="s">
        <v>3</v>
      </c>
      <c r="F92" s="7" t="s">
        <v>4</v>
      </c>
      <c r="G92" s="7" t="s">
        <v>5</v>
      </c>
      <c r="H92" s="7" t="s">
        <v>6</v>
      </c>
      <c r="I92" s="7" t="s">
        <v>7</v>
      </c>
      <c r="J92" s="7" t="s">
        <v>8</v>
      </c>
      <c r="K92" s="7" t="s">
        <v>9</v>
      </c>
      <c r="L92" s="7" t="s">
        <v>10</v>
      </c>
      <c r="M92" s="7"/>
      <c r="N92" s="7"/>
    </row>
    <row r="93" ht="14.25" customHeight="1">
      <c r="A93" s="7" t="s">
        <v>26</v>
      </c>
      <c r="J93" s="14"/>
    </row>
    <row r="94" ht="14.25" customHeight="1">
      <c r="A94" s="8" t="s">
        <v>41</v>
      </c>
      <c r="B94" s="14">
        <f>AVERAGE('Base de datos'!C378:C388)</f>
        <v>46.50909091</v>
      </c>
      <c r="C94" s="14">
        <f>AVERAGE('Base de datos'!D378:D388)</f>
        <v>30.98181818</v>
      </c>
      <c r="D94" s="14">
        <f>AVERAGE('Base de datos'!E378:E388)</f>
        <v>52.44826239</v>
      </c>
      <c r="E94" s="14">
        <f>AVERAGE('Base de datos'!F378:F388)</f>
        <v>66.09090909</v>
      </c>
      <c r="F94" s="14">
        <f>AVERAGE('Base de datos'!G378:G388)</f>
        <v>92.62839646</v>
      </c>
      <c r="G94" s="14">
        <f>AVERAGE('Base de datos'!H378:H388)</f>
        <v>70.82257178</v>
      </c>
      <c r="H94" s="14">
        <f>AVERAGE('Base de datos'!I378:I388)</f>
        <v>35.94360036</v>
      </c>
      <c r="I94" s="14">
        <f>AVERAGE('Base de datos'!J378:J388)</f>
        <v>59.92754362</v>
      </c>
      <c r="J94" s="14">
        <f>AVERAGE('Base de datos'!K378:K388)</f>
        <v>85.84062304</v>
      </c>
      <c r="K94" s="14">
        <f>AVERAGE('Base de datos'!L378:L388)</f>
        <v>100.3119552</v>
      </c>
      <c r="L94" s="14">
        <f>AVERAGE('Base de datos'!M378:M388)</f>
        <v>93.82828942</v>
      </c>
    </row>
    <row r="95" ht="14.25" customHeight="1">
      <c r="A95" s="10" t="s">
        <v>42</v>
      </c>
      <c r="B95" s="14">
        <f>STDEV('Base de datos'!C378:C388)</f>
        <v>3.294375372</v>
      </c>
      <c r="C95" s="14">
        <f>STDEV('Base de datos'!D378:D388)</f>
        <v>2.315088846</v>
      </c>
      <c r="D95" s="14">
        <f>STDEV('Base de datos'!E378:E388)</f>
        <v>3.189297178</v>
      </c>
      <c r="E95" s="14">
        <f>STDEV('Base de datos'!F378:F388)</f>
        <v>5.03754991</v>
      </c>
      <c r="F95" s="14">
        <f>STDEV('Base de datos'!G378:G388)</f>
        <v>6.406806901</v>
      </c>
      <c r="G95" s="14">
        <f>STDEV('Base de datos'!H378:H388)</f>
        <v>4.065865797</v>
      </c>
      <c r="H95" s="14">
        <f>STDEV('Base de datos'!I378:I388)</f>
        <v>1.75179755</v>
      </c>
      <c r="I95" s="14">
        <f>STDEV('Base de datos'!J378:J388)</f>
        <v>4.009498922</v>
      </c>
      <c r="J95" s="14">
        <f>STDEV('Base de datos'!K378:K388)</f>
        <v>6.135370459</v>
      </c>
      <c r="K95" s="14">
        <f>STDEV('Base de datos'!L378:L388)</f>
        <v>7.209630388</v>
      </c>
      <c r="L95" s="14">
        <f>STDEV('Base de datos'!M378:M388)</f>
        <v>6.949701232</v>
      </c>
    </row>
    <row r="96" ht="14.25" customHeight="1">
      <c r="A96" s="10" t="s">
        <v>43</v>
      </c>
      <c r="E96" s="13">
        <f>_xlfn.NORM.DIST(E$2/1.02,E94,E95,TRUE)</f>
        <v>0</v>
      </c>
      <c r="G96" s="13">
        <f>_xlfn.NORM.DIST(G$2/1.02,G94,G95,TRUE)</f>
        <v>0</v>
      </c>
      <c r="K96" s="13">
        <f>_xlfn.NORM.DIST(K$2/1.02,K94,K95,TRUE)</f>
        <v>0</v>
      </c>
    </row>
    <row r="97" ht="14.25" customHeight="1">
      <c r="A97" s="10" t="s">
        <v>44</v>
      </c>
      <c r="E97" s="13">
        <f>_xlfn.NORM.DIST(E$2*1.02,E94,E95,TRUE)</f>
        <v>0</v>
      </c>
      <c r="G97" s="13">
        <f>_xlfn.NORM.DIST(G$2*1.02,G94,G95,TRUE)</f>
        <v>0</v>
      </c>
      <c r="K97" s="13">
        <f>_xlfn.NORM.DIST(K$2*1.02,K94,K95,TRUE)</f>
        <v>0</v>
      </c>
    </row>
    <row r="98" ht="14.25" customHeight="1">
      <c r="A98" s="10" t="s">
        <v>45</v>
      </c>
      <c r="E98" s="13">
        <f>IF(E$2=0,1,E97-E96)</f>
        <v>1</v>
      </c>
      <c r="G98" s="13">
        <f>IF(G$2=0,1,G97-G96)</f>
        <v>1</v>
      </c>
      <c r="K98" s="13">
        <f>IF(K$2=0,1,K97-K96)</f>
        <v>1</v>
      </c>
      <c r="N98" s="13">
        <f>$E98*$G98*$K98</f>
        <v>1</v>
      </c>
      <c r="O98" s="13">
        <f>N98*N99</f>
        <v>1</v>
      </c>
      <c r="P98" s="13">
        <f>O98/($O$213)</f>
        <v>0.03846153846</v>
      </c>
    </row>
    <row r="99" ht="14.25" customHeight="1">
      <c r="A99" s="10" t="s">
        <v>46</v>
      </c>
      <c r="B99" s="13">
        <f>IF(OR(AND(B$2&gt;MIN('Base de datos'!C378:C388)/1.05,B$2&lt;MAX('Base de datos'!C378:C388)*1.05),B$2=0),1,0)</f>
        <v>1</v>
      </c>
      <c r="C99" s="13">
        <f>IF(OR(AND(C$2&gt;MIN('Base de datos'!D378:D388)/1.05,C$2&lt;MAX('Base de datos'!D378:D388)*1.05),C$2=0),1,0)</f>
        <v>1</v>
      </c>
      <c r="D99" s="13">
        <f>IF(OR(AND(D$2&gt;MIN('Base de datos'!E378:E388)/1.05,D$2&lt;MAX('Base de datos'!E378:E388)*1.05),D$2=0),1,0)</f>
        <v>1</v>
      </c>
      <c r="E99" s="13">
        <f>IF(OR(AND(E$2&gt;MIN('Base de datos'!F378:F388)/1.05,E$2&lt;MAX('Base de datos'!F378:F388)*1.05),E$2=0),1,0)</f>
        <v>1</v>
      </c>
      <c r="F99" s="13">
        <f>IF(OR(AND(F$2&gt;MIN('Base de datos'!G378:G388)/1.05,F$2&lt;MAX('Base de datos'!G378:G388)*1.05),F$2=0),1,0)</f>
        <v>1</v>
      </c>
      <c r="G99" s="13">
        <f>IF(OR(AND(G$2&gt;MIN('Base de datos'!H378:H388)/1.05,G$2&lt;MAX('Base de datos'!H378:H388)*1.05),G$2=0),1,0)</f>
        <v>1</v>
      </c>
      <c r="H99" s="13">
        <f>IF(OR(AND(H$2&gt;MIN('Base de datos'!I378:I388)/1.05,H$2&lt;MAX('Base de datos'!I378:I388)*1.05),H$2=0),1,0)</f>
        <v>1</v>
      </c>
      <c r="I99" s="13">
        <f>IF(OR(AND(I$2&gt;MIN('Base de datos'!J378:J388)/1.05,I$2&lt;MAX('Base de datos'!J378:J388)*1.05),I$2=0),1,0)</f>
        <v>1</v>
      </c>
      <c r="J99" s="13">
        <f>IF(OR(AND(J$2&gt;MIN('Base de datos'!K378:K388)/1.05,J$2&lt;MAX('Base de datos'!K378:K388)*1.05),J$2=0),1,0)</f>
        <v>1</v>
      </c>
      <c r="K99" s="13">
        <f>IF(OR(AND(K$2&gt;MIN('Base de datos'!L378:L388)/1.05,K$2&lt;MAX('Base de datos'!L378:L388)*1.05),K$2=0),1,0)</f>
        <v>1</v>
      </c>
      <c r="L99" s="13">
        <f>IF(OR(AND(L$2&gt;MIN('Base de datos'!M378:M388)/1.05,L$2&lt;MAX('Base de datos'!M378:M388)*1.05),L$2=0),1,0)</f>
        <v>1</v>
      </c>
      <c r="N99" s="13">
        <f>PRODUCT(B99:L99)</f>
        <v>1</v>
      </c>
    </row>
    <row r="100" ht="14.25" customHeight="1">
      <c r="B100" s="7" t="s">
        <v>0</v>
      </c>
      <c r="C100" s="7" t="s">
        <v>1</v>
      </c>
      <c r="D100" s="7" t="s">
        <v>2</v>
      </c>
      <c r="E100" s="7" t="s">
        <v>3</v>
      </c>
      <c r="F100" s="7" t="s">
        <v>4</v>
      </c>
      <c r="G100" s="7" t="s">
        <v>5</v>
      </c>
      <c r="H100" s="7" t="s">
        <v>6</v>
      </c>
      <c r="I100" s="7" t="s">
        <v>7</v>
      </c>
      <c r="J100" s="7" t="s">
        <v>8</v>
      </c>
      <c r="K100" s="7" t="s">
        <v>9</v>
      </c>
      <c r="L100" s="7" t="s">
        <v>10</v>
      </c>
      <c r="M100" s="7"/>
      <c r="N100" s="7"/>
    </row>
    <row r="101" ht="14.25" customHeight="1">
      <c r="A101" s="7" t="s">
        <v>27</v>
      </c>
      <c r="J101" s="14"/>
    </row>
    <row r="102" ht="14.25" customHeight="1">
      <c r="A102" s="8" t="s">
        <v>41</v>
      </c>
      <c r="B102" s="14">
        <f>AVERAGE('Base de datos'!C389:C416)</f>
        <v>38.10668273</v>
      </c>
      <c r="C102" s="14">
        <f>AVERAGE('Base de datos'!D389:D416)</f>
        <v>27.35631038</v>
      </c>
      <c r="D102" s="14">
        <f>AVERAGE('Base de datos'!E389:E416)</f>
        <v>45.71868069</v>
      </c>
      <c r="E102" s="14">
        <f>AVERAGE('Base de datos'!F389:F416)</f>
        <v>52.21785714</v>
      </c>
      <c r="F102" s="14">
        <f>AVERAGE('Base de datos'!G389:G416)</f>
        <v>77.17287938</v>
      </c>
      <c r="G102" s="14">
        <f>AVERAGE('Base de datos'!H389:H416)</f>
        <v>59.05543512</v>
      </c>
      <c r="H102" s="14">
        <f>AVERAGE('Base de datos'!I389:I416)</f>
        <v>32.99853453</v>
      </c>
      <c r="I102" s="14">
        <f>AVERAGE('Base de datos'!J389:J416)</f>
        <v>56.94530709</v>
      </c>
      <c r="J102" s="14">
        <f>AVERAGE('Base de datos'!K389:K416)</f>
        <v>82.24268482</v>
      </c>
      <c r="K102" s="14">
        <f>AVERAGE('Base de datos'!L389:L416)</f>
        <v>99.42915089</v>
      </c>
      <c r="L102" s="14">
        <f>AVERAGE('Base de datos'!M389:M416)</f>
        <v>93.98069883</v>
      </c>
    </row>
    <row r="103" ht="14.25" customHeight="1">
      <c r="A103" s="10" t="s">
        <v>42</v>
      </c>
      <c r="B103" s="14">
        <f>STDEV('Base de datos'!C389:C416)</f>
        <v>2.051144809</v>
      </c>
      <c r="C103" s="14">
        <f>STDEV('Base de datos'!D389:D416)</f>
        <v>1.308096441</v>
      </c>
      <c r="D103" s="14">
        <f>STDEV('Base de datos'!E389:E416)</f>
        <v>2.141895856</v>
      </c>
      <c r="E103" s="14">
        <f>STDEV('Base de datos'!F389:F416)</f>
        <v>1.491718763</v>
      </c>
      <c r="F103" s="14">
        <f>STDEV('Base de datos'!G389:G416)</f>
        <v>2.447606845</v>
      </c>
      <c r="G103" s="14">
        <f>STDEV('Base de datos'!H389:H416)</f>
        <v>1.610066649</v>
      </c>
      <c r="H103" s="14">
        <f>STDEV('Base de datos'!I389:I416)</f>
        <v>0.8377903852</v>
      </c>
      <c r="I103" s="14">
        <f>STDEV('Base de datos'!J389:J416)</f>
        <v>1.541947807</v>
      </c>
      <c r="J103" s="14">
        <f>STDEV('Base de datos'!K389:K416)</f>
        <v>2.548444761</v>
      </c>
      <c r="K103" s="14">
        <f>STDEV('Base de datos'!L389:L416)</f>
        <v>3.554829121</v>
      </c>
      <c r="L103" s="14">
        <f>STDEV('Base de datos'!M389:M416)</f>
        <v>3.465222695</v>
      </c>
    </row>
    <row r="104" ht="14.25" customHeight="1">
      <c r="A104" s="10" t="s">
        <v>43</v>
      </c>
      <c r="E104" s="13">
        <f>_xlfn.NORM.DIST(E$2/1.02,E102,E103,TRUE)</f>
        <v>0</v>
      </c>
      <c r="G104" s="13">
        <f>_xlfn.NORM.DIST(G$2/1.02,G102,G103,TRUE)</f>
        <v>0</v>
      </c>
      <c r="K104" s="13">
        <f>_xlfn.NORM.DIST(K$2/1.02,K102,K103,TRUE)</f>
        <v>0</v>
      </c>
    </row>
    <row r="105" ht="14.25" customHeight="1">
      <c r="A105" s="10" t="s">
        <v>44</v>
      </c>
      <c r="E105" s="13">
        <f>_xlfn.NORM.DIST(E$2*1.02,E102,E103,TRUE)</f>
        <v>0</v>
      </c>
      <c r="G105" s="13">
        <f>_xlfn.NORM.DIST(G$2*1.02,G102,G103,TRUE)</f>
        <v>0</v>
      </c>
      <c r="K105" s="13">
        <f>_xlfn.NORM.DIST(K$2*1.02,K102,K103,TRUE)</f>
        <v>0</v>
      </c>
    </row>
    <row r="106" ht="14.25" customHeight="1">
      <c r="A106" s="10" t="s">
        <v>45</v>
      </c>
      <c r="E106" s="13">
        <f>IF(E$2=0,1,E105-E104)</f>
        <v>1</v>
      </c>
      <c r="G106" s="13">
        <f>IF(G$2=0,1,G105-G104)</f>
        <v>1</v>
      </c>
      <c r="K106" s="13">
        <f>IF(K$2=0,1,K105-K104)</f>
        <v>1</v>
      </c>
      <c r="N106" s="13">
        <f>$E106*$G106*$K106</f>
        <v>1</v>
      </c>
      <c r="O106" s="13">
        <f>N106*N107</f>
        <v>1</v>
      </c>
      <c r="P106" s="13">
        <f>O106/($O$213)</f>
        <v>0.03846153846</v>
      </c>
    </row>
    <row r="107" ht="14.25" customHeight="1">
      <c r="A107" s="10" t="s">
        <v>46</v>
      </c>
      <c r="B107" s="13">
        <f>IF(OR(AND(B$2&gt;MIN('Base de datos'!C389:C416)/1.05,B$2&lt;MAX('Base de datos'!C389:C416)*1.05),B$2=0),1,0)</f>
        <v>1</v>
      </c>
      <c r="C107" s="13">
        <f>IF(OR(AND(C$2&gt;MIN('Base de datos'!D389:D416)/1.05,C$2&lt;MAX('Base de datos'!D389:D416)*1.05),C$2=0),1,0)</f>
        <v>1</v>
      </c>
      <c r="D107" s="13">
        <f>IF(OR(AND(D$2&gt;MIN('Base de datos'!E389:E416)/1.05,D$2&lt;MAX('Base de datos'!E389:E416)*1.05),D$2=0),1,0)</f>
        <v>1</v>
      </c>
      <c r="E107" s="13">
        <f>IF(OR(AND(E$2&gt;MIN('Base de datos'!F389:F416)/1.05,E$2&lt;MAX('Base de datos'!F389:F416)*1.05),E$2=0),1,0)</f>
        <v>1</v>
      </c>
      <c r="F107" s="13">
        <f>IF(OR(AND(F$2&gt;MIN('Base de datos'!G389:G416)/1.05,F$2&lt;MAX('Base de datos'!G389:G416)*1.05),F$2=0),1,0)</f>
        <v>1</v>
      </c>
      <c r="G107" s="13">
        <f>IF(OR(AND(G$2&gt;MIN('Base de datos'!H389:H416)/1.05,G$2&lt;MAX('Base de datos'!H389:H416)*1.05),G$2=0),1,0)</f>
        <v>1</v>
      </c>
      <c r="H107" s="13">
        <f>IF(OR(AND(H$2&gt;MIN('Base de datos'!I389:I416)/1.05,H$2&lt;MAX('Base de datos'!I389:I416)*1.05),H$2=0),1,0)</f>
        <v>1</v>
      </c>
      <c r="I107" s="13">
        <f>IF(OR(AND(I$2&gt;MIN('Base de datos'!J389:J416)/1.05,I$2&lt;MAX('Base de datos'!J389:J416)*1.05),I$2=0),1,0)</f>
        <v>1</v>
      </c>
      <c r="J107" s="13">
        <f>IF(OR(AND(J$2&gt;MIN('Base de datos'!K389:K416)/1.05,J$2&lt;MAX('Base de datos'!K389:K416)*1.05),J$2=0),1,0)</f>
        <v>1</v>
      </c>
      <c r="K107" s="13">
        <f>IF(OR(AND(K$2&gt;MIN('Base de datos'!L389:L416)/1.05,K$2&lt;MAX('Base de datos'!L389:L416)*1.05),K$2=0),1,0)</f>
        <v>1</v>
      </c>
      <c r="L107" s="13">
        <f>IF(OR(AND(L$2&gt;MIN('Base de datos'!M389:M416)/1.05,L$2&lt;MAX('Base de datos'!M389:M416)*1.05),L$2=0),1,0)</f>
        <v>1</v>
      </c>
      <c r="N107" s="13">
        <f>PRODUCT(B107:L107)</f>
        <v>1</v>
      </c>
    </row>
    <row r="108" ht="14.25" customHeight="1">
      <c r="B108" s="7" t="s">
        <v>0</v>
      </c>
      <c r="C108" s="7" t="s">
        <v>1</v>
      </c>
      <c r="D108" s="7" t="s">
        <v>2</v>
      </c>
      <c r="E108" s="7" t="s">
        <v>3</v>
      </c>
      <c r="F108" s="7" t="s">
        <v>4</v>
      </c>
      <c r="G108" s="7" t="s">
        <v>5</v>
      </c>
      <c r="H108" s="7" t="s">
        <v>6</v>
      </c>
      <c r="I108" s="7" t="s">
        <v>7</v>
      </c>
      <c r="J108" s="7" t="s">
        <v>8</v>
      </c>
      <c r="K108" s="7" t="s">
        <v>9</v>
      </c>
      <c r="L108" s="7" t="s">
        <v>10</v>
      </c>
      <c r="M108" s="7"/>
      <c r="N108" s="7"/>
    </row>
    <row r="109" ht="14.25" customHeight="1">
      <c r="A109" s="7" t="s">
        <v>28</v>
      </c>
      <c r="J109" s="14"/>
    </row>
    <row r="110" ht="14.25" customHeight="1">
      <c r="A110" s="8" t="s">
        <v>41</v>
      </c>
      <c r="B110" s="14">
        <f>AVERAGE('Base de datos'!C417:C438)</f>
        <v>78.56071928</v>
      </c>
      <c r="C110" s="14">
        <f>AVERAGE('Base de datos'!D417:D438)</f>
        <v>45.54470082</v>
      </c>
      <c r="D110" s="14">
        <f>AVERAGE('Base de datos'!E417:E438)</f>
        <v>88.40148896</v>
      </c>
      <c r="E110" s="14">
        <f>AVERAGE('Base de datos'!F417:F438)</f>
        <v>83.12481758</v>
      </c>
      <c r="F110" s="14">
        <f>AVERAGE('Base de datos'!G417:G438)</f>
        <v>131.0420055</v>
      </c>
      <c r="G110" s="14">
        <f>AVERAGE('Base de datos'!H417:H438)</f>
        <v>94.05422663</v>
      </c>
      <c r="H110" s="14">
        <f>AVERAGE('Base de datos'!I417:I438)</f>
        <v>65.62366989</v>
      </c>
      <c r="I110" s="14">
        <f>AVERAGE('Base de datos'!J417:J438)</f>
        <v>102.593493</v>
      </c>
      <c r="J110" s="14">
        <f>AVERAGE('Base de datos'!K417:K438)</f>
        <v>166.7406589</v>
      </c>
      <c r="K110" s="14">
        <f>AVERAGE('Base de datos'!L417:L438)</f>
        <v>196.7043343</v>
      </c>
      <c r="L110" s="14">
        <f>AVERAGE('Base de datos'!M417:M438)</f>
        <v>190.0066694</v>
      </c>
    </row>
    <row r="111" ht="14.25" customHeight="1">
      <c r="A111" s="10" t="s">
        <v>42</v>
      </c>
      <c r="B111" s="14">
        <f>STDEV('Base de datos'!C417:C438)</f>
        <v>4.039160411</v>
      </c>
      <c r="C111" s="14">
        <f>STDEV('Base de datos'!D417:D438)</f>
        <v>2.428344605</v>
      </c>
      <c r="D111" s="14">
        <f>STDEV('Base de datos'!E417:E438)</f>
        <v>4.023957509</v>
      </c>
      <c r="E111" s="14">
        <f>STDEV('Base de datos'!F417:F438)</f>
        <v>3.268053982</v>
      </c>
      <c r="F111" s="14">
        <f>STDEV('Base de datos'!G417:G438)</f>
        <v>3.885293897</v>
      </c>
      <c r="G111" s="14">
        <f>STDEV('Base de datos'!H417:H438)</f>
        <v>2.723485447</v>
      </c>
      <c r="H111" s="14">
        <f>STDEV('Base de datos'!I417:I438)</f>
        <v>1.939395965</v>
      </c>
      <c r="I111" s="14">
        <f>STDEV('Base de datos'!J417:J438)</f>
        <v>2.939431984</v>
      </c>
      <c r="J111" s="14">
        <f>STDEV('Base de datos'!K417:K438)</f>
        <v>4.629550104</v>
      </c>
      <c r="K111" s="14">
        <f>STDEV('Base de datos'!L417:L438)</f>
        <v>5.659274213</v>
      </c>
      <c r="L111" s="14">
        <f>STDEV('Base de datos'!M417:M438)</f>
        <v>4.46583551</v>
      </c>
    </row>
    <row r="112" ht="14.25" customHeight="1">
      <c r="A112" s="10" t="s">
        <v>43</v>
      </c>
      <c r="E112" s="13">
        <f>_xlfn.NORM.DIST(E$2/1.02,E110,E111,TRUE)</f>
        <v>0</v>
      </c>
      <c r="G112" s="13">
        <f>_xlfn.NORM.DIST(G$2/1.02,G110,G111,TRUE)</f>
        <v>0</v>
      </c>
      <c r="K112" s="13">
        <f>_xlfn.NORM.DIST(K$2/1.02,K110,K111,TRUE)</f>
        <v>0</v>
      </c>
    </row>
    <row r="113" ht="14.25" customHeight="1">
      <c r="A113" s="10" t="s">
        <v>44</v>
      </c>
      <c r="E113" s="13">
        <f>_xlfn.NORM.DIST(E$2*1.02,E110,E111,TRUE)</f>
        <v>0</v>
      </c>
      <c r="G113" s="13">
        <f>_xlfn.NORM.DIST(G$2*1.02,G110,G111,TRUE)</f>
        <v>0</v>
      </c>
      <c r="K113" s="13">
        <f>_xlfn.NORM.DIST(K$2*1.02,K110,K111,TRUE)</f>
        <v>0</v>
      </c>
    </row>
    <row r="114" ht="14.25" customHeight="1">
      <c r="A114" s="10" t="s">
        <v>45</v>
      </c>
      <c r="E114" s="13">
        <f>IF(E$2=0,1,E113-E112)</f>
        <v>1</v>
      </c>
      <c r="G114" s="13">
        <f>IF(G$2=0,1,G113-G112)</f>
        <v>1</v>
      </c>
      <c r="K114" s="13">
        <f>IF(K$2=0,1,K113-K112)</f>
        <v>1</v>
      </c>
      <c r="N114" s="13">
        <f>$E114*$G114*$K114</f>
        <v>1</v>
      </c>
      <c r="O114" s="13">
        <f>N114*N115</f>
        <v>1</v>
      </c>
      <c r="P114" s="13">
        <f>O114/($O$213)</f>
        <v>0.03846153846</v>
      </c>
    </row>
    <row r="115" ht="14.25" customHeight="1">
      <c r="A115" s="10" t="s">
        <v>46</v>
      </c>
      <c r="B115" s="13">
        <f>IF(OR(AND(B$2&gt;MIN('Base de datos'!C417:C438)/1.05,B$2&lt;MAX('Base de datos'!C417:C438)*1.05),B$2=0),1,0)</f>
        <v>1</v>
      </c>
      <c r="C115" s="13">
        <f>IF(OR(AND(C$2&gt;MIN('Base de datos'!D417:D438)/1.05,C$2&lt;MAX('Base de datos'!D417:D438)*1.05),C$2=0),1,0)</f>
        <v>1</v>
      </c>
      <c r="D115" s="13">
        <f>IF(OR(AND(D$2&gt;MIN('Base de datos'!E417:E438)/1.05,D$2&lt;MAX('Base de datos'!E417:E438)*1.05),D$2=0),1,0)</f>
        <v>1</v>
      </c>
      <c r="E115" s="13">
        <f>IF(OR(AND(E$2&gt;MIN('Base de datos'!F417:F438)/1.05,E$2&lt;MAX('Base de datos'!F417:F438)*1.05),E$2=0),1,0)</f>
        <v>1</v>
      </c>
      <c r="F115" s="13">
        <f>IF(OR(AND(F$2&gt;MIN('Base de datos'!G417:G438)/1.05,F$2&lt;MAX('Base de datos'!G417:G438)*1.05),F$2=0),1,0)</f>
        <v>1</v>
      </c>
      <c r="G115" s="13">
        <f>IF(OR(AND(G$2&gt;MIN('Base de datos'!H417:H438)/1.05,G$2&lt;MAX('Base de datos'!H417:H438)*1.05),G$2=0),1,0)</f>
        <v>1</v>
      </c>
      <c r="H115" s="13">
        <f>IF(OR(AND(H$2&gt;MIN('Base de datos'!I417:I438)/1.05,H$2&lt;MAX('Base de datos'!I417:I438)*1.05),H$2=0),1,0)</f>
        <v>1</v>
      </c>
      <c r="I115" s="13">
        <f>IF(OR(AND(I$2&gt;MIN('Base de datos'!J417:J438)/1.05,I$2&lt;MAX('Base de datos'!J417:J438)*1.05),I$2=0),1,0)</f>
        <v>1</v>
      </c>
      <c r="J115" s="13">
        <f>IF(OR(AND(J$2&gt;MIN('Base de datos'!K417:K438)/1.05,J$2&lt;MAX('Base de datos'!K417:K438)*1.05),J$2=0),1,0)</f>
        <v>1</v>
      </c>
      <c r="K115" s="13">
        <f>IF(OR(AND(K$2&gt;MIN('Base de datos'!L417:L438)/1.05,K$2&lt;MAX('Base de datos'!L417:L438)*1.05),K$2=0),1,0)</f>
        <v>1</v>
      </c>
      <c r="L115" s="13">
        <f>IF(OR(AND(L$2&gt;MIN('Base de datos'!M417:M438)/1.05,L$2&lt;MAX('Base de datos'!M417:M438)*1.05),L$2=0),1,0)</f>
        <v>1</v>
      </c>
      <c r="N115" s="13">
        <f>PRODUCT(B115:L115)</f>
        <v>1</v>
      </c>
    </row>
    <row r="116" ht="14.25" customHeight="1">
      <c r="B116" s="7" t="s">
        <v>0</v>
      </c>
      <c r="C116" s="7" t="s">
        <v>1</v>
      </c>
      <c r="D116" s="7" t="s">
        <v>2</v>
      </c>
      <c r="E116" s="7" t="s">
        <v>3</v>
      </c>
      <c r="F116" s="7" t="s">
        <v>4</v>
      </c>
      <c r="G116" s="7" t="s">
        <v>5</v>
      </c>
      <c r="H116" s="7" t="s">
        <v>6</v>
      </c>
      <c r="I116" s="7" t="s">
        <v>7</v>
      </c>
      <c r="J116" s="7" t="s">
        <v>8</v>
      </c>
      <c r="K116" s="7" t="s">
        <v>9</v>
      </c>
      <c r="L116" s="7" t="s">
        <v>10</v>
      </c>
      <c r="M116" s="7"/>
      <c r="N116" s="7"/>
    </row>
    <row r="117" ht="14.25" customHeight="1">
      <c r="A117" s="7" t="s">
        <v>29</v>
      </c>
      <c r="J117" s="14"/>
    </row>
    <row r="118" ht="14.25" customHeight="1">
      <c r="A118" s="8" t="s">
        <v>41</v>
      </c>
      <c r="B118" s="14">
        <f>AVERAGE('Base de datos'!C439:C453)</f>
        <v>33.9092243</v>
      </c>
      <c r="C118" s="14">
        <f>AVERAGE('Base de datos'!D439:D453)</f>
        <v>24.68169865</v>
      </c>
      <c r="D118" s="14">
        <f>AVERAGE('Base de datos'!E439:E453)</f>
        <v>39.20199568</v>
      </c>
      <c r="E118" s="14">
        <f>AVERAGE('Base de datos'!F439:F453)</f>
        <v>46.71857658</v>
      </c>
      <c r="F118" s="14">
        <f>AVERAGE('Base de datos'!G439:G453)</f>
        <v>60.0986292</v>
      </c>
      <c r="G118" s="14">
        <f>AVERAGE('Base de datos'!H439:H453)</f>
        <v>32.30314741</v>
      </c>
      <c r="H118" s="14">
        <f>AVERAGE('Base de datos'!I439:I453)</f>
        <v>31.54734514</v>
      </c>
      <c r="I118" s="14">
        <f>AVERAGE('Base de datos'!J439:J453)</f>
        <v>53.25510957</v>
      </c>
      <c r="J118" s="14">
        <f>AVERAGE('Base de datos'!K439:K453)</f>
        <v>68.88838615</v>
      </c>
      <c r="K118" s="14">
        <f>AVERAGE('Base de datos'!L439:L453)</f>
        <v>79.86297684</v>
      </c>
      <c r="L118" s="14">
        <f>AVERAGE('Base de datos'!M439:M453)</f>
        <v>76.21463403</v>
      </c>
    </row>
    <row r="119" ht="14.25" customHeight="1">
      <c r="A119" s="10" t="s">
        <v>42</v>
      </c>
      <c r="B119" s="14">
        <f>STDEV('Base de datos'!C439:C453)</f>
        <v>1.419806136</v>
      </c>
      <c r="C119" s="14">
        <f>STDEV('Base de datos'!D439:D453)</f>
        <v>0.8731682123</v>
      </c>
      <c r="D119" s="14">
        <f>STDEV('Base de datos'!E439:E453)</f>
        <v>2.114770313</v>
      </c>
      <c r="E119" s="14">
        <f>STDEV('Base de datos'!F439:F453)</f>
        <v>0.805899379</v>
      </c>
      <c r="F119" s="14">
        <f>STDEV('Base de datos'!G439:G453)</f>
        <v>0.9927593827</v>
      </c>
      <c r="G119" s="14">
        <f>STDEV('Base de datos'!H439:H453)</f>
        <v>0.7066850916</v>
      </c>
      <c r="H119" s="14">
        <f>STDEV('Base de datos'!I439:I453)</f>
        <v>0.7066872276</v>
      </c>
      <c r="I119" s="14">
        <f>STDEV('Base de datos'!J439:J453)</f>
        <v>2.362167369</v>
      </c>
      <c r="J119" s="14">
        <f>STDEV('Base de datos'!K439:K453)</f>
        <v>0.926978389</v>
      </c>
      <c r="K119" s="14">
        <f>STDEV('Base de datos'!L439:L453)</f>
        <v>0.9544282794</v>
      </c>
      <c r="L119" s="14">
        <f>STDEV('Base de datos'!M439:M453)</f>
        <v>0.8425303153</v>
      </c>
    </row>
    <row r="120" ht="14.25" customHeight="1">
      <c r="A120" s="10" t="s">
        <v>43</v>
      </c>
      <c r="E120" s="13">
        <f>_xlfn.NORM.DIST(E$2/1.02,E118,E119,TRUE)</f>
        <v>0</v>
      </c>
      <c r="G120" s="13">
        <f>_xlfn.NORM.DIST(G$2/1.02,G118,G119,TRUE)</f>
        <v>0</v>
      </c>
      <c r="K120" s="13">
        <f>_xlfn.NORM.DIST(K$2/1.02,K118,K119,TRUE)</f>
        <v>0</v>
      </c>
    </row>
    <row r="121" ht="14.25" customHeight="1">
      <c r="A121" s="10" t="s">
        <v>44</v>
      </c>
      <c r="E121" s="13">
        <f>_xlfn.NORM.DIST(E$2*1.02,E118,E119,TRUE)</f>
        <v>0</v>
      </c>
      <c r="G121" s="13">
        <f>_xlfn.NORM.DIST(G$2*1.02,G118,G119,TRUE)</f>
        <v>0</v>
      </c>
      <c r="K121" s="13">
        <f>_xlfn.NORM.DIST(K$2*1.02,K118,K119,TRUE)</f>
        <v>0</v>
      </c>
    </row>
    <row r="122" ht="14.25" customHeight="1">
      <c r="A122" s="10" t="s">
        <v>45</v>
      </c>
      <c r="E122" s="13">
        <f>IF(E$2=0,1,E121-E120)</f>
        <v>1</v>
      </c>
      <c r="G122" s="13">
        <f>IF(G$2=0,1,G121-G120)</f>
        <v>1</v>
      </c>
      <c r="K122" s="13">
        <f>IF(K$2=0,1,K121-K120)</f>
        <v>1</v>
      </c>
      <c r="N122" s="13">
        <f>$E122*$G122*$K122</f>
        <v>1</v>
      </c>
      <c r="O122" s="13">
        <f>N122*N123</f>
        <v>1</v>
      </c>
      <c r="P122" s="13">
        <f>O122/($O$213)</f>
        <v>0.03846153846</v>
      </c>
    </row>
    <row r="123" ht="14.25" customHeight="1">
      <c r="A123" s="10" t="s">
        <v>46</v>
      </c>
      <c r="B123" s="13">
        <f>IF(OR(AND(B$2&gt;MIN('Base de datos'!C439:C453)/1.05,B$2&lt;MAX('Base de datos'!C439:C453)*1.05),B$2=0),1,0)</f>
        <v>1</v>
      </c>
      <c r="C123" s="13">
        <f>IF(OR(AND(C$2&gt;MIN('Base de datos'!D439:D453)/1.05,C$2&lt;MAX('Base de datos'!D439:D453)*1.05),C$2=0),1,0)</f>
        <v>1</v>
      </c>
      <c r="D123" s="13">
        <f>IF(OR(AND(D$2&gt;MIN('Base de datos'!E439:E453)/1.05,D$2&lt;MAX('Base de datos'!E439:E453)*1.05),D$2=0),1,0)</f>
        <v>1</v>
      </c>
      <c r="E123" s="13">
        <f>IF(OR(AND(E$2&gt;MIN('Base de datos'!F439:F453)/1.05,E$2&lt;MAX('Base de datos'!F439:F453)*1.05),E$2=0),1,0)</f>
        <v>1</v>
      </c>
      <c r="F123" s="13">
        <f>IF(OR(AND(F$2&gt;MIN('Base de datos'!G439:G453)/1.05,F$2&lt;MAX('Base de datos'!G439:G453)*1.05),F$2=0),1,0)</f>
        <v>1</v>
      </c>
      <c r="G123" s="13">
        <f>IF(OR(AND(G$2&gt;MIN('Base de datos'!H439:H453)/1.05,G$2&lt;MAX('Base de datos'!H439:H453)*1.05),G$2=0),1,0)</f>
        <v>1</v>
      </c>
      <c r="H123" s="13">
        <f>IF(OR(AND(H$2&gt;MIN('Base de datos'!I439:I453)/1.05,H$2&lt;MAX('Base de datos'!I439:I453)*1.05),H$2=0),1,0)</f>
        <v>1</v>
      </c>
      <c r="I123" s="13">
        <f>IF(OR(AND(I$2&gt;MIN('Base de datos'!J439:J453)/1.05,I$2&lt;MAX('Base de datos'!J439:J453)*1.05),I$2=0),1,0)</f>
        <v>1</v>
      </c>
      <c r="J123" s="13">
        <f>IF(OR(AND(J$2&gt;MIN('Base de datos'!K439:K453)/1.05,J$2&lt;MAX('Base de datos'!K439:K453)*1.05),J$2=0),1,0)</f>
        <v>1</v>
      </c>
      <c r="K123" s="13">
        <f>IF(OR(AND(K$2&gt;MIN('Base de datos'!L439:L453)/1.05,K$2&lt;MAX('Base de datos'!L439:L453)*1.05),K$2=0),1,0)</f>
        <v>1</v>
      </c>
      <c r="L123" s="13">
        <f>IF(OR(AND(L$2&gt;MIN('Base de datos'!M439:M453)/1.05,L$2&lt;MAX('Base de datos'!M439:M453)*1.05),L$2=0),1,0)</f>
        <v>1</v>
      </c>
      <c r="N123" s="13">
        <f>PRODUCT(B123:L123)</f>
        <v>1</v>
      </c>
    </row>
    <row r="124" ht="14.25" customHeight="1">
      <c r="B124" s="7" t="s">
        <v>0</v>
      </c>
      <c r="C124" s="7" t="s">
        <v>1</v>
      </c>
      <c r="D124" s="7" t="s">
        <v>2</v>
      </c>
      <c r="E124" s="7" t="s">
        <v>3</v>
      </c>
      <c r="F124" s="7" t="s">
        <v>4</v>
      </c>
      <c r="G124" s="7" t="s">
        <v>5</v>
      </c>
      <c r="H124" s="7" t="s">
        <v>6</v>
      </c>
      <c r="I124" s="7" t="s">
        <v>7</v>
      </c>
      <c r="J124" s="7" t="s">
        <v>8</v>
      </c>
      <c r="K124" s="7" t="s">
        <v>9</v>
      </c>
      <c r="L124" s="7" t="s">
        <v>10</v>
      </c>
      <c r="M124" s="7"/>
      <c r="N124" s="7"/>
    </row>
    <row r="125" ht="14.25" customHeight="1">
      <c r="A125" s="7" t="s">
        <v>30</v>
      </c>
      <c r="J125" s="14"/>
    </row>
    <row r="126" ht="14.25" customHeight="1">
      <c r="A126" s="8" t="s">
        <v>41</v>
      </c>
      <c r="B126" s="14">
        <f>AVERAGE('Base de datos'!C454:C470)</f>
        <v>29.39381756</v>
      </c>
      <c r="C126" s="14">
        <f>AVERAGE('Base de datos'!D454:D470)</f>
        <v>23.35111753</v>
      </c>
      <c r="D126" s="14">
        <f>AVERAGE('Base de datos'!E454:E470)</f>
        <v>39.5</v>
      </c>
      <c r="E126" s="14">
        <f>AVERAGE('Base de datos'!F454:F470)</f>
        <v>44.78741207</v>
      </c>
      <c r="F126" s="14">
        <f>AVERAGE('Base de datos'!G454:G470)</f>
        <v>56.41639711</v>
      </c>
      <c r="G126" s="14">
        <f>AVERAGE('Base de datos'!H454:H470)</f>
        <v>36.74313128</v>
      </c>
      <c r="H126" s="14">
        <f>AVERAGE('Base de datos'!I454:I470)</f>
        <v>27.34317991</v>
      </c>
      <c r="I126" s="14">
        <f>AVERAGE('Base de datos'!J454:J470)</f>
        <v>46.10082233</v>
      </c>
      <c r="J126" s="14">
        <f>AVERAGE('Base de datos'!K454:K470)</f>
        <v>47.54136059</v>
      </c>
      <c r="K126" s="14">
        <f>AVERAGE('Base de datos'!L454:L470)</f>
        <v>54.30191627</v>
      </c>
      <c r="L126" s="14">
        <f>AVERAGE('Base de datos'!M454:M470)</f>
        <v>49.80225747</v>
      </c>
    </row>
    <row r="127" ht="14.25" customHeight="1">
      <c r="A127" s="10" t="s">
        <v>42</v>
      </c>
      <c r="B127" s="14">
        <f>STDEV('Base de datos'!C454:C470)</f>
        <v>1.684393128</v>
      </c>
      <c r="C127" s="14">
        <f>STDEV('Base de datos'!D454:D470)</f>
        <v>1.096065078</v>
      </c>
      <c r="D127" s="14">
        <f>STDEV('Base de datos'!E454:E470)</f>
        <v>2.537961781</v>
      </c>
      <c r="E127" s="14">
        <f>STDEV('Base de datos'!F454:F470)</f>
        <v>1.697952773</v>
      </c>
      <c r="F127" s="14">
        <f>STDEV('Base de datos'!G454:G470)</f>
        <v>2.525324351</v>
      </c>
      <c r="G127" s="14">
        <f>STDEV('Base de datos'!H454:H470)</f>
        <v>1.411783861</v>
      </c>
      <c r="H127" s="14">
        <f>STDEV('Base de datos'!I454:I470)</f>
        <v>0.8758597132</v>
      </c>
      <c r="I127" s="14">
        <f>STDEV('Base de datos'!J454:J470)</f>
        <v>1.922347381</v>
      </c>
      <c r="J127" s="14">
        <f>STDEV('Base de datos'!K454:K470)</f>
        <v>2.300342489</v>
      </c>
      <c r="K127" s="14">
        <f>STDEV('Base de datos'!L454:L470)</f>
        <v>2.751445559</v>
      </c>
      <c r="L127" s="14">
        <f>STDEV('Base de datos'!M454:M470)</f>
        <v>2.572300178</v>
      </c>
    </row>
    <row r="128" ht="14.25" customHeight="1">
      <c r="A128" s="10" t="s">
        <v>43</v>
      </c>
      <c r="E128" s="13">
        <f>_xlfn.NORM.DIST(E$2/1.02,E126,E127,TRUE)</f>
        <v>0</v>
      </c>
      <c r="G128" s="13">
        <f>_xlfn.NORM.DIST(G$2/1.02,G126,G127,TRUE)</f>
        <v>0</v>
      </c>
      <c r="K128" s="13">
        <f>_xlfn.NORM.DIST(K$2/1.02,K126,K127,TRUE)</f>
        <v>0</v>
      </c>
    </row>
    <row r="129" ht="14.25" customHeight="1">
      <c r="A129" s="10" t="s">
        <v>44</v>
      </c>
      <c r="E129" s="13">
        <f>_xlfn.NORM.DIST(E$2*1.02,E126,E127,TRUE)</f>
        <v>0</v>
      </c>
      <c r="G129" s="13">
        <f>_xlfn.NORM.DIST(G$2*1.02,G126,G127,TRUE)</f>
        <v>0</v>
      </c>
      <c r="K129" s="13">
        <f>_xlfn.NORM.DIST(K$2*1.02,K126,K127,TRUE)</f>
        <v>0</v>
      </c>
    </row>
    <row r="130" ht="14.25" customHeight="1">
      <c r="A130" s="10" t="s">
        <v>45</v>
      </c>
      <c r="E130" s="13">
        <f>IF(E$2=0,1,E129-E128)</f>
        <v>1</v>
      </c>
      <c r="G130" s="13">
        <f>IF(G$2=0,1,G129-G128)</f>
        <v>1</v>
      </c>
      <c r="K130" s="13">
        <f>IF(K$2=0,1,K129-K128)</f>
        <v>1</v>
      </c>
      <c r="N130" s="13">
        <f>$E130*$G130*$K130</f>
        <v>1</v>
      </c>
      <c r="O130" s="13">
        <f>N130*N131</f>
        <v>1</v>
      </c>
      <c r="P130" s="13">
        <f>O130/($O$213)</f>
        <v>0.03846153846</v>
      </c>
    </row>
    <row r="131" ht="14.25" customHeight="1">
      <c r="A131" s="10" t="s">
        <v>46</v>
      </c>
      <c r="B131" s="13">
        <f>IF(OR(AND(B$2&gt;MIN('Base de datos'!C454:C470)/1.05,B$2&lt;MAX('Base de datos'!C454:C470)*1.05),B$2=0),1,0)</f>
        <v>1</v>
      </c>
      <c r="C131" s="13">
        <f>IF(OR(AND(C$2&gt;MIN('Base de datos'!D454:D470)/1.05,C$2&lt;MAX('Base de datos'!D454:D470)*1.05),C$2=0),1,0)</f>
        <v>1</v>
      </c>
      <c r="D131" s="13">
        <f>IF(OR(AND(D$2&gt;MIN('Base de datos'!E454:E470)/1.05,D$2&lt;MAX('Base de datos'!E454:E470)*1.05),D$2=0),1,0)</f>
        <v>1</v>
      </c>
      <c r="E131" s="13">
        <f>IF(OR(AND(E$2&gt;MIN('Base de datos'!F454:F470)/1.05,E$2&lt;MAX('Base de datos'!F454:F470)*1.05),E$2=0),1,0)</f>
        <v>1</v>
      </c>
      <c r="F131" s="13">
        <f>IF(OR(AND(F$2&gt;MIN('Base de datos'!G454:G470)/1.05,F$2&lt;MAX('Base de datos'!G454:G470)*1.05),F$2=0),1,0)</f>
        <v>1</v>
      </c>
      <c r="G131" s="13">
        <f>IF(OR(AND(G$2&gt;MIN('Base de datos'!H454:H470)/1.05,G$2&lt;MAX('Base de datos'!H454:H470)*1.05),G$2=0),1,0)</f>
        <v>1</v>
      </c>
      <c r="H131" s="13">
        <f>IF(OR(AND(H$2&gt;MIN('Base de datos'!I454:I470)/1.05,H$2&lt;MAX('Base de datos'!I454:I470)*1.05),H$2=0),1,0)</f>
        <v>1</v>
      </c>
      <c r="I131" s="13">
        <f>IF(OR(AND(I$2&gt;MIN('Base de datos'!J454:J470)/1.05,I$2&lt;MAX('Base de datos'!J454:J470)*1.05),I$2=0),1,0)</f>
        <v>1</v>
      </c>
      <c r="J131" s="13">
        <f>IF(OR(AND(J$2&gt;MIN('Base de datos'!K454:K470)/1.05,J$2&lt;MAX('Base de datos'!K454:K470)*1.05),J$2=0),1,0)</f>
        <v>1</v>
      </c>
      <c r="K131" s="13">
        <f>IF(OR(AND(K$2&gt;MIN('Base de datos'!L454:L470)/1.05,K$2&lt;MAX('Base de datos'!L454:L470)*1.05),K$2=0),1,0)</f>
        <v>1</v>
      </c>
      <c r="L131" s="13">
        <f>IF(OR(AND(L$2&gt;MIN('Base de datos'!M454:M470)/1.05,L$2&lt;MAX('Base de datos'!M454:M470)*1.05),L$2=0),1,0)</f>
        <v>1</v>
      </c>
      <c r="N131" s="13">
        <f>PRODUCT(B131:L131)</f>
        <v>1</v>
      </c>
    </row>
    <row r="132" ht="14.25" customHeight="1">
      <c r="B132" s="7" t="s">
        <v>0</v>
      </c>
      <c r="C132" s="7" t="s">
        <v>1</v>
      </c>
      <c r="D132" s="7" t="s">
        <v>2</v>
      </c>
      <c r="E132" s="7" t="s">
        <v>3</v>
      </c>
      <c r="F132" s="7" t="s">
        <v>4</v>
      </c>
      <c r="G132" s="7" t="s">
        <v>5</v>
      </c>
      <c r="H132" s="7" t="s">
        <v>6</v>
      </c>
      <c r="I132" s="7" t="s">
        <v>7</v>
      </c>
      <c r="J132" s="7" t="s">
        <v>8</v>
      </c>
      <c r="K132" s="7" t="s">
        <v>9</v>
      </c>
      <c r="L132" s="7" t="s">
        <v>10</v>
      </c>
      <c r="M132" s="7"/>
      <c r="N132" s="7"/>
    </row>
    <row r="133" ht="14.25" customHeight="1">
      <c r="A133" s="7" t="s">
        <v>31</v>
      </c>
      <c r="J133" s="14"/>
    </row>
    <row r="134" ht="14.25" customHeight="1">
      <c r="A134" s="8" t="s">
        <v>41</v>
      </c>
      <c r="B134" s="14">
        <f>AVERAGE('Base de datos'!C471:C503)</f>
        <v>45.43333333</v>
      </c>
      <c r="C134" s="14">
        <f>AVERAGE('Base de datos'!D471:D503)</f>
        <v>36.02121212</v>
      </c>
      <c r="D134" s="14">
        <f>AVERAGE('Base de datos'!E471:E503)</f>
        <v>68.05388601</v>
      </c>
      <c r="E134" s="14">
        <f>AVERAGE('Base de datos'!F471:F503)</f>
        <v>64.07878788</v>
      </c>
      <c r="F134" s="14">
        <f>AVERAGE('Base de datos'!G471:G503)</f>
        <v>80.51256618</v>
      </c>
      <c r="G134" s="14">
        <f>AVERAGE('Base de datos'!H471:H503)</f>
        <v>48.87200031</v>
      </c>
      <c r="H134" s="14">
        <f>AVERAGE('Base de datos'!I471:I503)</f>
        <v>37.85763228</v>
      </c>
      <c r="I134" s="14">
        <f>AVERAGE('Base de datos'!J471:J503)</f>
        <v>65.21629306</v>
      </c>
      <c r="J134" s="14">
        <f>AVERAGE('Base de datos'!K471:K503)</f>
        <v>77.55105132</v>
      </c>
      <c r="K134" s="14">
        <f>AVERAGE('Base de datos'!L471:L503)</f>
        <v>88.2839776</v>
      </c>
      <c r="L134" s="14">
        <f>AVERAGE('Base de datos'!M471:M503)</f>
        <v>81.36583502</v>
      </c>
    </row>
    <row r="135" ht="14.25" customHeight="1">
      <c r="A135" s="10" t="s">
        <v>42</v>
      </c>
      <c r="B135" s="14">
        <f>STDEV('Base de datos'!C471:C503)</f>
        <v>2.877462713</v>
      </c>
      <c r="C135" s="14">
        <f>STDEV('Base de datos'!D471:D503)</f>
        <v>2.292072967</v>
      </c>
      <c r="D135" s="14">
        <f>STDEV('Base de datos'!E471:E503)</f>
        <v>4.734592507</v>
      </c>
      <c r="E135" s="14">
        <f>STDEV('Base de datos'!F471:F503)</f>
        <v>4.622956141</v>
      </c>
      <c r="F135" s="14">
        <f>STDEV('Base de datos'!G471:G503)</f>
        <v>5.967557929</v>
      </c>
      <c r="G135" s="14">
        <f>STDEV('Base de datos'!H471:H503)</f>
        <v>3.179850751</v>
      </c>
      <c r="H135" s="14">
        <f>STDEV('Base de datos'!I471:I503)</f>
        <v>1.803543955</v>
      </c>
      <c r="I135" s="14">
        <f>STDEV('Base de datos'!J471:J503)</f>
        <v>3.884625621</v>
      </c>
      <c r="J135" s="14">
        <f>STDEV('Base de datos'!K471:K503)</f>
        <v>6.258740157</v>
      </c>
      <c r="K135" s="14">
        <f>STDEV('Base de datos'!L471:L503)</f>
        <v>7.086645677</v>
      </c>
      <c r="L135" s="14">
        <f>STDEV('Base de datos'!M471:M503)</f>
        <v>6.551642249</v>
      </c>
    </row>
    <row r="136" ht="14.25" customHeight="1">
      <c r="A136" s="10" t="s">
        <v>43</v>
      </c>
      <c r="E136" s="13">
        <f>_xlfn.NORM.DIST(E$2/1.02,E134,E135,TRUE)</f>
        <v>0</v>
      </c>
      <c r="G136" s="13">
        <f>_xlfn.NORM.DIST(G$2/1.02,G134,G135,TRUE)</f>
        <v>0</v>
      </c>
      <c r="K136" s="13">
        <f>_xlfn.NORM.DIST(K$2/1.02,K134,K135,TRUE)</f>
        <v>0</v>
      </c>
    </row>
    <row r="137" ht="14.25" customHeight="1">
      <c r="A137" s="10" t="s">
        <v>44</v>
      </c>
      <c r="E137" s="13">
        <f>_xlfn.NORM.DIST(E$2*1.02,E134,E135,TRUE)</f>
        <v>0</v>
      </c>
      <c r="G137" s="13">
        <f>_xlfn.NORM.DIST(G$2*1.02,G134,G135,TRUE)</f>
        <v>0</v>
      </c>
      <c r="K137" s="13">
        <f>_xlfn.NORM.DIST(K$2*1.02,K134,K135,TRUE)</f>
        <v>0</v>
      </c>
    </row>
    <row r="138" ht="14.25" customHeight="1">
      <c r="A138" s="10" t="s">
        <v>45</v>
      </c>
      <c r="E138" s="13">
        <f>IF(E$2=0,1,E137-E136)</f>
        <v>1</v>
      </c>
      <c r="G138" s="13">
        <f>IF(G$2=0,1,G137-G136)</f>
        <v>1</v>
      </c>
      <c r="K138" s="13">
        <f>IF(K$2=0,1,K137-K136)</f>
        <v>1</v>
      </c>
      <c r="N138" s="13">
        <f>$E138*$G138*$K138</f>
        <v>1</v>
      </c>
      <c r="O138" s="13">
        <f>N138*N139</f>
        <v>1</v>
      </c>
      <c r="P138" s="13">
        <f>O138/($O$213)</f>
        <v>0.03846153846</v>
      </c>
    </row>
    <row r="139" ht="14.25" customHeight="1">
      <c r="A139" s="10" t="s">
        <v>46</v>
      </c>
      <c r="B139" s="13">
        <f>IF(OR(AND(B$2&gt;MIN('Base de datos'!C471:C503)/1.05,B$2&lt;MAX('Base de datos'!C471:C503)*1.05),B$2=0),1,0)</f>
        <v>1</v>
      </c>
      <c r="C139" s="13">
        <f>IF(OR(AND(C$2&gt;MIN('Base de datos'!D471:D503)/1.05,C$2&lt;MAX('Base de datos'!D471:D503)*1.05),C$2=0),1,0)</f>
        <v>1</v>
      </c>
      <c r="D139" s="13">
        <f>IF(OR(AND(D$2&gt;MIN('Base de datos'!E471:E503)/1.05,D$2&lt;MAX('Base de datos'!E471:E503)*1.05),D$2=0),1,0)</f>
        <v>1</v>
      </c>
      <c r="E139" s="13">
        <f>IF(OR(AND(E$2&gt;MIN('Base de datos'!F471:F503)/1.05,E$2&lt;MAX('Base de datos'!F471:F503)*1.05),E$2=0),1,0)</f>
        <v>1</v>
      </c>
      <c r="F139" s="13">
        <f>IF(OR(AND(F$2&gt;MIN('Base de datos'!G471:G503)/1.05,F$2&lt;MAX('Base de datos'!G471:G503)*1.05),F$2=0),1,0)</f>
        <v>1</v>
      </c>
      <c r="G139" s="13">
        <f>IF(OR(AND(G$2&gt;MIN('Base de datos'!H471:H503)/1.05,G$2&lt;MAX('Base de datos'!H471:H503)*1.05),G$2=0),1,0)</f>
        <v>1</v>
      </c>
      <c r="H139" s="13">
        <f>IF(OR(AND(H$2&gt;MIN('Base de datos'!I471:I503)/1.05,H$2&lt;MAX('Base de datos'!I471:I503)*1.05),H$2=0),1,0)</f>
        <v>1</v>
      </c>
      <c r="I139" s="13">
        <f>IF(OR(AND(I$2&gt;MIN('Base de datos'!J471:J503)/1.05,I$2&lt;MAX('Base de datos'!J471:J503)*1.05),I$2=0),1,0)</f>
        <v>1</v>
      </c>
      <c r="J139" s="13">
        <f>IF(OR(AND(J$2&gt;MIN('Base de datos'!K471:K503)/1.05,J$2&lt;MAX('Base de datos'!K471:K503)*1.05),J$2=0),1,0)</f>
        <v>1</v>
      </c>
      <c r="K139" s="13">
        <f>IF(OR(AND(K$2&gt;MIN('Base de datos'!L471:L503)/1.05,K$2&lt;MAX('Base de datos'!L471:L503)*1.05),K$2=0),1,0)</f>
        <v>1</v>
      </c>
      <c r="L139" s="13">
        <f>IF(OR(AND(L$2&gt;MIN('Base de datos'!M471:M503)/1.05,L$2&lt;MAX('Base de datos'!M471:M503)*1.05),L$2=0),1,0)</f>
        <v>1</v>
      </c>
      <c r="N139" s="13">
        <f>PRODUCT(B139:L139)</f>
        <v>1</v>
      </c>
    </row>
    <row r="140" ht="14.25" customHeight="1">
      <c r="B140" s="7" t="s">
        <v>0</v>
      </c>
      <c r="C140" s="7" t="s">
        <v>1</v>
      </c>
      <c r="D140" s="7" t="s">
        <v>2</v>
      </c>
      <c r="E140" s="7" t="s">
        <v>3</v>
      </c>
      <c r="F140" s="7" t="s">
        <v>4</v>
      </c>
      <c r="G140" s="7" t="s">
        <v>5</v>
      </c>
      <c r="H140" s="7" t="s">
        <v>6</v>
      </c>
      <c r="I140" s="7" t="s">
        <v>7</v>
      </c>
      <c r="J140" s="7" t="s">
        <v>8</v>
      </c>
      <c r="K140" s="7" t="s">
        <v>9</v>
      </c>
      <c r="L140" s="7" t="s">
        <v>10</v>
      </c>
      <c r="M140" s="7"/>
      <c r="N140" s="7"/>
    </row>
    <row r="141" ht="14.25" customHeight="1">
      <c r="A141" s="7" t="s">
        <v>32</v>
      </c>
      <c r="J141" s="14"/>
    </row>
    <row r="142" ht="14.25" customHeight="1">
      <c r="A142" s="8" t="s">
        <v>41</v>
      </c>
      <c r="B142" s="14">
        <f>AVERAGE('Base de datos'!C504:C537)</f>
        <v>33.25</v>
      </c>
      <c r="C142" s="14">
        <f>AVERAGE('Base de datos'!D504:D537)</f>
        <v>26.46470588</v>
      </c>
      <c r="D142" s="14">
        <f>AVERAGE('Base de datos'!E504:E537)</f>
        <v>50.47647059</v>
      </c>
      <c r="E142" s="14">
        <f>AVERAGE('Base de datos'!F504:F537)</f>
        <v>50.50718564</v>
      </c>
      <c r="F142" s="14">
        <f>AVERAGE('Base de datos'!G504:G537)</f>
        <v>68.19411765</v>
      </c>
      <c r="G142" s="14">
        <f>AVERAGE('Base de datos'!H504:H537)</f>
        <v>58.67647059</v>
      </c>
      <c r="H142" s="14">
        <f>AVERAGE('Base de datos'!I504:I537)</f>
        <v>27.05882353</v>
      </c>
      <c r="I142" s="14">
        <f>AVERAGE('Base de datos'!J504:J537)</f>
        <v>47.66176471</v>
      </c>
      <c r="J142" s="14">
        <f>AVERAGE('Base de datos'!K504:K537)</f>
        <v>57.02463627</v>
      </c>
      <c r="K142" s="14">
        <f>AVERAGE('Base de datos'!L504:L537)</f>
        <v>67.56796183</v>
      </c>
      <c r="L142" s="14">
        <f>AVERAGE('Base de datos'!M504:M537)</f>
        <v>62.34059676</v>
      </c>
    </row>
    <row r="143" ht="14.25" customHeight="1">
      <c r="A143" s="10" t="s">
        <v>42</v>
      </c>
      <c r="B143" s="14">
        <f>STDEV('Base de datos'!C504:C537)</f>
        <v>3.174639087</v>
      </c>
      <c r="C143" s="14">
        <f>STDEV('Base de datos'!D504:D537)</f>
        <v>2.263261572</v>
      </c>
      <c r="D143" s="14">
        <f>STDEV('Base de datos'!E504:E537)</f>
        <v>4.507371661</v>
      </c>
      <c r="E143" s="14">
        <f>STDEV('Base de datos'!F504:F537)</f>
        <v>3.66366058</v>
      </c>
      <c r="F143" s="14">
        <f>STDEV('Base de datos'!G504:G537)</f>
        <v>5.116043759</v>
      </c>
      <c r="G143" s="14">
        <f>STDEV('Base de datos'!H504:H537)</f>
        <v>3.559031092</v>
      </c>
      <c r="H143" s="14">
        <f>STDEV('Base de datos'!I504:I537)</f>
        <v>1.404347718</v>
      </c>
      <c r="I143" s="14">
        <f>STDEV('Base de datos'!J504:J537)</f>
        <v>2.730080996</v>
      </c>
      <c r="J143" s="14">
        <f>STDEV('Base de datos'!K504:K537)</f>
        <v>4.631558828</v>
      </c>
      <c r="K143" s="14">
        <f>STDEV('Base de datos'!L504:L537)</f>
        <v>5.067523078</v>
      </c>
      <c r="L143" s="14">
        <f>STDEV('Base de datos'!M504:M537)</f>
        <v>4.669735692</v>
      </c>
    </row>
    <row r="144" ht="14.25" customHeight="1">
      <c r="A144" s="10" t="s">
        <v>43</v>
      </c>
      <c r="E144" s="13">
        <f>_xlfn.NORM.DIST(E$2/1.02,E142,E143,TRUE)</f>
        <v>0</v>
      </c>
      <c r="G144" s="13">
        <f>_xlfn.NORM.DIST(G$2/1.02,G142,G143,TRUE)</f>
        <v>0</v>
      </c>
      <c r="K144" s="13">
        <f>_xlfn.NORM.DIST(K$2/1.02,K142,K143,TRUE)</f>
        <v>0</v>
      </c>
    </row>
    <row r="145" ht="14.25" customHeight="1">
      <c r="A145" s="10" t="s">
        <v>44</v>
      </c>
      <c r="E145" s="13">
        <f>_xlfn.NORM.DIST(E$2*1.02,E142,E143,TRUE)</f>
        <v>0</v>
      </c>
      <c r="G145" s="13">
        <f>_xlfn.NORM.DIST(G$2*1.02,G142,G143,TRUE)</f>
        <v>0</v>
      </c>
      <c r="K145" s="13">
        <f>_xlfn.NORM.DIST(K$2*1.02,K142,K143,TRUE)</f>
        <v>0</v>
      </c>
    </row>
    <row r="146" ht="14.25" customHeight="1">
      <c r="A146" s="10" t="s">
        <v>45</v>
      </c>
      <c r="E146" s="13">
        <f>IF(E$2=0,1,E145-E144)</f>
        <v>1</v>
      </c>
      <c r="G146" s="13">
        <f>IF(G$2=0,1,G145-G144)</f>
        <v>1</v>
      </c>
      <c r="K146" s="13">
        <f>IF(K$2=0,1,K145-K144)</f>
        <v>1</v>
      </c>
      <c r="N146" s="13">
        <f>$E146*$G146*$K146</f>
        <v>1</v>
      </c>
      <c r="O146" s="13">
        <f>N146*N147</f>
        <v>1</v>
      </c>
      <c r="P146" s="13">
        <f>O146/($O$213)</f>
        <v>0.03846153846</v>
      </c>
    </row>
    <row r="147" ht="14.25" customHeight="1">
      <c r="A147" s="10" t="s">
        <v>46</v>
      </c>
      <c r="B147" s="13">
        <f>IF(OR(AND(B$2&gt;MIN('Base de datos'!C504:C537)/1.05,B$2&lt;MAX('Base de datos'!C504:C537)*1.05),B$2=0),1,0)</f>
        <v>1</v>
      </c>
      <c r="C147" s="13">
        <f>IF(OR(AND(C$2&gt;MIN('Base de datos'!D504:D537)/1.05,C$2&lt;MAX('Base de datos'!D504:D537)*1.05),C$2=0),1,0)</f>
        <v>1</v>
      </c>
      <c r="D147" s="13">
        <f>IF(OR(AND(D$2&gt;MIN('Base de datos'!E504:E537)/1.05,D$2&lt;MAX('Base de datos'!E504:E537)*1.05),D$2=0),1,0)</f>
        <v>1</v>
      </c>
      <c r="E147" s="13">
        <f>IF(OR(AND(E$2&gt;MIN('Base de datos'!F504:F537)/1.05,E$2&lt;MAX('Base de datos'!F504:F537)*1.05),E$2=0),1,0)</f>
        <v>1</v>
      </c>
      <c r="F147" s="13">
        <f>IF(OR(AND(F$2&gt;MIN('Base de datos'!G504:G537)/1.05,F$2&lt;MAX('Base de datos'!G504:G537)*1.05),F$2=0),1,0)</f>
        <v>1</v>
      </c>
      <c r="G147" s="13">
        <f>IF(OR(AND(G$2&gt;MIN('Base de datos'!H504:H537)/1.05,G$2&lt;MAX('Base de datos'!H504:H537)*1.05),G$2=0),1,0)</f>
        <v>1</v>
      </c>
      <c r="H147" s="13">
        <f>IF(OR(AND(H$2&gt;MIN('Base de datos'!I504:I537)/1.05,H$2&lt;MAX('Base de datos'!I504:I537)*1.05),H$2=0),1,0)</f>
        <v>1</v>
      </c>
      <c r="I147" s="13">
        <f>IF(OR(AND(I$2&gt;MIN('Base de datos'!J504:J537)/1.05,I$2&lt;MAX('Base de datos'!J504:J537)*1.05),I$2=0),1,0)</f>
        <v>1</v>
      </c>
      <c r="J147" s="13">
        <f>IF(OR(AND(J$2&gt;MIN('Base de datos'!K504:K537)/1.05,J$2&lt;MAX('Base de datos'!K504:K537)*1.05),J$2=0),1,0)</f>
        <v>1</v>
      </c>
      <c r="K147" s="13">
        <f>IF(OR(AND(K$2&gt;MIN('Base de datos'!L504:L537)/1.05,K$2&lt;MAX('Base de datos'!L504:L537)*1.05),K$2=0),1,0)</f>
        <v>1</v>
      </c>
      <c r="L147" s="13">
        <f>IF(OR(AND(L$2&gt;MIN('Base de datos'!M504:M537)/1.05,L$2&lt;MAX('Base de datos'!M504:M537)*1.05),L$2=0),1,0)</f>
        <v>1</v>
      </c>
      <c r="N147" s="13">
        <f>PRODUCT(B147:L147)</f>
        <v>1</v>
      </c>
    </row>
    <row r="148" ht="14.25" customHeight="1">
      <c r="B148" s="7" t="s">
        <v>0</v>
      </c>
      <c r="C148" s="7" t="s">
        <v>1</v>
      </c>
      <c r="D148" s="7" t="s">
        <v>2</v>
      </c>
      <c r="E148" s="7" t="s">
        <v>3</v>
      </c>
      <c r="F148" s="7" t="s">
        <v>4</v>
      </c>
      <c r="G148" s="7" t="s">
        <v>5</v>
      </c>
      <c r="H148" s="7" t="s">
        <v>6</v>
      </c>
      <c r="I148" s="7" t="s">
        <v>7</v>
      </c>
      <c r="J148" s="7" t="s">
        <v>8</v>
      </c>
      <c r="K148" s="7" t="s">
        <v>9</v>
      </c>
      <c r="L148" s="7" t="s">
        <v>10</v>
      </c>
      <c r="M148" s="7"/>
      <c r="N148" s="7"/>
    </row>
    <row r="149" ht="14.25" customHeight="1">
      <c r="A149" s="7" t="s">
        <v>33</v>
      </c>
      <c r="J149" s="14"/>
    </row>
    <row r="150" ht="14.25" customHeight="1">
      <c r="A150" s="8" t="s">
        <v>41</v>
      </c>
      <c r="B150" s="14">
        <f>AVERAGE('Base de datos'!C538:C583)</f>
        <v>87.89001164</v>
      </c>
      <c r="C150" s="14">
        <f>AVERAGE('Base de datos'!D538:D583)</f>
        <v>53.48594469</v>
      </c>
      <c r="D150" s="14">
        <f>AVERAGE('Base de datos'!E538:E583)</f>
        <v>117.4598269</v>
      </c>
      <c r="E150" s="14">
        <f>AVERAGE('Base de datos'!F538:F583)</f>
        <v>109.5994736</v>
      </c>
      <c r="F150" s="14">
        <f>AVERAGE('Base de datos'!G538:G583)</f>
        <v>151.8020014</v>
      </c>
      <c r="G150" s="14">
        <f>AVERAGE('Base de datos'!H538:H583)</f>
        <v>95.06337899</v>
      </c>
      <c r="H150" s="14">
        <f>AVERAGE('Base de datos'!I538:I583)</f>
        <v>62.59544249</v>
      </c>
      <c r="I150" s="14">
        <f>AVERAGE('Base de datos'!J538:J583)</f>
        <v>113.5808502</v>
      </c>
      <c r="J150" s="14">
        <f>AVERAGE('Base de datos'!K538:K583)</f>
        <v>186.3916576</v>
      </c>
      <c r="K150" s="14">
        <f>AVERAGE('Base de datos'!L538:L583)</f>
        <v>218.2494431</v>
      </c>
      <c r="L150" s="14">
        <f>AVERAGE('Base de datos'!M538:M583)</f>
        <v>207.1448088</v>
      </c>
    </row>
    <row r="151" ht="14.25" customHeight="1">
      <c r="A151" s="10" t="s">
        <v>42</v>
      </c>
      <c r="B151" s="14">
        <f>STDEV('Base de datos'!C538:C583)</f>
        <v>4.141907201</v>
      </c>
      <c r="C151" s="14">
        <f>STDEV('Base de datos'!D538:D583)</f>
        <v>2.640486471</v>
      </c>
      <c r="D151" s="14">
        <f>STDEV('Base de datos'!E538:E583)</f>
        <v>4.501787282</v>
      </c>
      <c r="E151" s="14">
        <f>STDEV('Base de datos'!F538:F583)</f>
        <v>3.651388467</v>
      </c>
      <c r="F151" s="14">
        <f>STDEV('Base de datos'!G538:G583)</f>
        <v>4.497086202</v>
      </c>
      <c r="G151" s="14">
        <f>STDEV('Base de datos'!H538:H583)</f>
        <v>2.126050872</v>
      </c>
      <c r="H151" s="14">
        <f>STDEV('Base de datos'!I538:I583)</f>
        <v>2.177073895</v>
      </c>
      <c r="I151" s="14">
        <f>STDEV('Base de datos'!J538:J583)</f>
        <v>4.161413658</v>
      </c>
      <c r="J151" s="14">
        <f>STDEV('Base de datos'!K538:K583)</f>
        <v>8.89616645</v>
      </c>
      <c r="K151" s="14">
        <f>STDEV('Base de datos'!L538:L583)</f>
        <v>7.2579569</v>
      </c>
      <c r="L151" s="14">
        <f>STDEV('Base de datos'!M538:M583)</f>
        <v>7.517285718</v>
      </c>
    </row>
    <row r="152" ht="14.25" customHeight="1">
      <c r="A152" s="10" t="s">
        <v>43</v>
      </c>
      <c r="E152" s="13">
        <f>_xlfn.NORM.DIST(E$2/1.02,E150,E151,TRUE)</f>
        <v>0</v>
      </c>
      <c r="G152" s="13">
        <f>_xlfn.NORM.DIST(G$2/1.02,G150,G151,TRUE)</f>
        <v>0</v>
      </c>
      <c r="K152" s="13">
        <f>_xlfn.NORM.DIST(K$2/1.02,K150,K151,TRUE)</f>
        <v>0</v>
      </c>
    </row>
    <row r="153" ht="14.25" customHeight="1">
      <c r="A153" s="10" t="s">
        <v>44</v>
      </c>
      <c r="E153" s="13">
        <f>_xlfn.NORM.DIST(E$2*1.02,E150,E151,TRUE)</f>
        <v>0</v>
      </c>
      <c r="G153" s="13">
        <f>_xlfn.NORM.DIST(G$2*1.02,G150,G151,TRUE)</f>
        <v>0</v>
      </c>
      <c r="K153" s="13">
        <f>_xlfn.NORM.DIST(K$2*1.02,K150,K151,TRUE)</f>
        <v>0</v>
      </c>
    </row>
    <row r="154" ht="14.25" customHeight="1">
      <c r="A154" s="10" t="s">
        <v>45</v>
      </c>
      <c r="E154" s="13">
        <f>IF(E$2=0,1,E153-E152)</f>
        <v>1</v>
      </c>
      <c r="G154" s="13">
        <f>IF(G$2=0,1,G153-G152)</f>
        <v>1</v>
      </c>
      <c r="K154" s="13">
        <f>IF(K$2=0,1,K153-K152)</f>
        <v>1</v>
      </c>
      <c r="N154" s="13">
        <f>$E154*$G154*$K154</f>
        <v>1</v>
      </c>
      <c r="O154" s="13">
        <f>N154*N155</f>
        <v>1</v>
      </c>
      <c r="P154" s="13">
        <f>O154/($O$213)</f>
        <v>0.03846153846</v>
      </c>
    </row>
    <row r="155" ht="14.25" customHeight="1">
      <c r="A155" s="10" t="s">
        <v>46</v>
      </c>
      <c r="B155" s="13">
        <f>IF(OR(AND(B$2&gt;MIN('Base de datos'!C538:C583)/1.05,B$2&lt;MAX('Base de datos'!C538:C583)*1.05),B$2=0),1,0)</f>
        <v>1</v>
      </c>
      <c r="C155" s="13">
        <f>IF(OR(AND(C$2&gt;MIN('Base de datos'!D538:D583)/1.05,C$2&lt;MAX('Base de datos'!D538:D583)*1.05),C$2=0),1,0)</f>
        <v>1</v>
      </c>
      <c r="D155" s="13">
        <f>IF(OR(AND(D$2&gt;MIN('Base de datos'!E538:E583)/1.05,D$2&lt;MAX('Base de datos'!E538:E583)*1.05),D$2=0),1,0)</f>
        <v>1</v>
      </c>
      <c r="E155" s="13">
        <f>IF(OR(AND(E$2&gt;MIN('Base de datos'!F538:F583)/1.05,E$2&lt;MAX('Base de datos'!F538:F583)*1.05),E$2=0),1,0)</f>
        <v>1</v>
      </c>
      <c r="F155" s="13">
        <f>IF(OR(AND(F$2&gt;MIN('Base de datos'!G538:G583)/1.05,F$2&lt;MAX('Base de datos'!G538:G583)*1.05),F$2=0),1,0)</f>
        <v>1</v>
      </c>
      <c r="G155" s="13">
        <f>IF(OR(AND(G$2&gt;MIN('Base de datos'!H538:H583)/1.05,G$2&lt;MAX('Base de datos'!H538:H583)*1.05),G$2=0),1,0)</f>
        <v>1</v>
      </c>
      <c r="H155" s="13">
        <f>IF(OR(AND(H$2&gt;MIN('Base de datos'!I538:I583)/1.05,H$2&lt;MAX('Base de datos'!I538:I583)*1.05),H$2=0),1,0)</f>
        <v>1</v>
      </c>
      <c r="I155" s="13">
        <f>IF(OR(AND(I$2&gt;MIN('Base de datos'!J538:J583)/1.05,I$2&lt;MAX('Base de datos'!J538:J583)*1.05),I$2=0),1,0)</f>
        <v>1</v>
      </c>
      <c r="J155" s="13">
        <f>IF(OR(AND(J$2&gt;MIN('Base de datos'!K538:K583)/1.05,J$2&lt;MAX('Base de datos'!K538:K583)*1.05),J$2=0),1,0)</f>
        <v>1</v>
      </c>
      <c r="K155" s="13">
        <f>IF(OR(AND(K$2&gt;MIN('Base de datos'!L538:L583)/1.05,K$2&lt;MAX('Base de datos'!L538:L583)*1.05),K$2=0),1,0)</f>
        <v>1</v>
      </c>
      <c r="L155" s="13">
        <f>IF(OR(AND(L$2&gt;MIN('Base de datos'!M538:M583)/1.05,L$2&lt;MAX('Base de datos'!M538:M583)*1.05),L$2=0),1,0)</f>
        <v>1</v>
      </c>
      <c r="N155" s="13">
        <f>PRODUCT(B155:L155)</f>
        <v>1</v>
      </c>
    </row>
    <row r="156" ht="14.25" customHeight="1">
      <c r="B156" s="7" t="s">
        <v>0</v>
      </c>
      <c r="C156" s="7" t="s">
        <v>1</v>
      </c>
      <c r="D156" s="7" t="s">
        <v>2</v>
      </c>
      <c r="E156" s="7" t="s">
        <v>3</v>
      </c>
      <c r="F156" s="7" t="s">
        <v>4</v>
      </c>
      <c r="G156" s="7" t="s">
        <v>5</v>
      </c>
      <c r="H156" s="7" t="s">
        <v>6</v>
      </c>
      <c r="I156" s="7" t="s">
        <v>7</v>
      </c>
      <c r="J156" s="7" t="s">
        <v>8</v>
      </c>
      <c r="K156" s="7" t="s">
        <v>9</v>
      </c>
      <c r="L156" s="7" t="s">
        <v>10</v>
      </c>
      <c r="M156" s="7"/>
      <c r="N156" s="7"/>
    </row>
    <row r="157" ht="14.25" customHeight="1">
      <c r="A157" s="7" t="s">
        <v>34</v>
      </c>
      <c r="J157" s="14"/>
    </row>
    <row r="158" ht="14.25" customHeight="1">
      <c r="A158" s="8" t="s">
        <v>41</v>
      </c>
      <c r="B158" s="14">
        <f>AVERAGE('Base de datos'!C584:C634)</f>
        <v>53.35777379</v>
      </c>
      <c r="C158" s="14">
        <f>AVERAGE('Base de datos'!D584:D634)</f>
        <v>35.61084607</v>
      </c>
      <c r="D158" s="14">
        <f>AVERAGE('Base de datos'!E584:E634)</f>
        <v>64.29118176</v>
      </c>
      <c r="E158" s="14">
        <f>AVERAGE('Base de datos'!F584:F634)</f>
        <v>63.82483417</v>
      </c>
      <c r="F158" s="14">
        <f>AVERAGE('Base de datos'!G584:G634)</f>
        <v>84.09267012</v>
      </c>
      <c r="G158" s="14">
        <f>AVERAGE('Base de datos'!H584:H634)</f>
        <v>55.93849601</v>
      </c>
      <c r="H158" s="14">
        <f>AVERAGE('Base de datos'!I584:I634)</f>
        <v>39.26277817</v>
      </c>
      <c r="I158" s="14">
        <f>AVERAGE('Base de datos'!J584:J634)</f>
        <v>74.10403781</v>
      </c>
      <c r="J158" s="14">
        <f>AVERAGE('Base de datos'!K584:K634)</f>
        <v>116.7188051</v>
      </c>
      <c r="K158" s="14">
        <f>AVERAGE('Base de datos'!L584:L634)</f>
        <v>135.772549</v>
      </c>
      <c r="L158" s="14">
        <f>AVERAGE('Base de datos'!M584:M634)</f>
        <v>129.6507051</v>
      </c>
    </row>
    <row r="159" ht="14.25" customHeight="1">
      <c r="A159" s="10" t="s">
        <v>42</v>
      </c>
      <c r="B159" s="14">
        <f>STDEV('Base de datos'!C584:C634)</f>
        <v>2.128060147</v>
      </c>
      <c r="C159" s="14">
        <f>STDEV('Base de datos'!D584:D634)</f>
        <v>1.66030482</v>
      </c>
      <c r="D159" s="14">
        <f>STDEV('Base de datos'!E584:E634)</f>
        <v>3.023394988</v>
      </c>
      <c r="E159" s="14">
        <f>STDEV('Base de datos'!F584:F634)</f>
        <v>1.544192384</v>
      </c>
      <c r="F159" s="14">
        <f>STDEV('Base de datos'!G584:G634)</f>
        <v>2.46757811</v>
      </c>
      <c r="G159" s="14">
        <f>STDEV('Base de datos'!H584:H634)</f>
        <v>1.32015425</v>
      </c>
      <c r="H159" s="14">
        <f>STDEV('Base de datos'!I584:I634)</f>
        <v>1.364390513</v>
      </c>
      <c r="I159" s="14">
        <f>STDEV('Base de datos'!J584:J634)</f>
        <v>2.097968121</v>
      </c>
      <c r="J159" s="14">
        <f>STDEV('Base de datos'!K584:K634)</f>
        <v>3.057387626</v>
      </c>
      <c r="K159" s="14">
        <f>STDEV('Base de datos'!L584:L634)</f>
        <v>4.369946381</v>
      </c>
      <c r="L159" s="14">
        <f>STDEV('Base de datos'!M584:M634)</f>
        <v>3.933141176</v>
      </c>
    </row>
    <row r="160" ht="14.25" customHeight="1">
      <c r="A160" s="10" t="s">
        <v>43</v>
      </c>
      <c r="E160" s="13">
        <f>_xlfn.NORM.DIST(E$2/1.02,E158,E159,TRUE)</f>
        <v>0</v>
      </c>
      <c r="G160" s="13">
        <f>_xlfn.NORM.DIST(G$2/1.02,G158,G159,TRUE)</f>
        <v>0</v>
      </c>
      <c r="K160" s="13">
        <f>_xlfn.NORM.DIST(K$2/1.02,K158,K159,TRUE)</f>
        <v>0</v>
      </c>
    </row>
    <row r="161" ht="14.25" customHeight="1">
      <c r="A161" s="10" t="s">
        <v>44</v>
      </c>
      <c r="E161" s="13">
        <f>_xlfn.NORM.DIST(E$2*1.02,E158,E159,TRUE)</f>
        <v>0</v>
      </c>
      <c r="G161" s="13">
        <f>_xlfn.NORM.DIST(G$2*1.02,G158,G159,TRUE)</f>
        <v>0</v>
      </c>
      <c r="K161" s="13">
        <f>_xlfn.NORM.DIST(K$2*1.02,K158,K159,TRUE)</f>
        <v>0</v>
      </c>
    </row>
    <row r="162" ht="14.25" customHeight="1">
      <c r="A162" s="10" t="s">
        <v>45</v>
      </c>
      <c r="E162" s="13">
        <f>IF(E$2=0,1,E161-E160)</f>
        <v>1</v>
      </c>
      <c r="G162" s="13">
        <f>IF(G$2=0,1,G161-G160)</f>
        <v>1</v>
      </c>
      <c r="K162" s="13">
        <f>IF(K$2=0,1,K161-K160)</f>
        <v>1</v>
      </c>
      <c r="N162" s="13">
        <f>$E162*$G162*$K162</f>
        <v>1</v>
      </c>
      <c r="O162" s="13">
        <f>N162*N163</f>
        <v>1</v>
      </c>
      <c r="P162" s="13">
        <f>O162/($O$213)</f>
        <v>0.03846153846</v>
      </c>
    </row>
    <row r="163" ht="14.25" customHeight="1">
      <c r="A163" s="10" t="s">
        <v>46</v>
      </c>
      <c r="B163" s="13">
        <f>IF(OR(AND(B$2&gt;MIN('Base de datos'!C584:C634)/1.05,B$2&lt;MAX('Base de datos'!C584:C634)*1.05),B$2=0),1,0)</f>
        <v>1</v>
      </c>
      <c r="C163" s="13">
        <f>IF(OR(AND(C$2&gt;MIN('Base de datos'!D584:D634)/1.05,C$2&lt;MAX('Base de datos'!D584:D634)*1.05),C$2=0),1,0)</f>
        <v>1</v>
      </c>
      <c r="D163" s="13">
        <f>IF(OR(AND(D$2&gt;MIN('Base de datos'!E584:E634)/1.05,D$2&lt;MAX('Base de datos'!E584:E634)*1.05),D$2=0),1,0)</f>
        <v>1</v>
      </c>
      <c r="E163" s="13">
        <f>IF(OR(AND(E$2&gt;MIN('Base de datos'!F584:F634)/1.05,E$2&lt;MAX('Base de datos'!F584:F634)*1.05),E$2=0),1,0)</f>
        <v>1</v>
      </c>
      <c r="F163" s="13">
        <f>IF(OR(AND(F$2&gt;MIN('Base de datos'!G584:G634)/1.05,F$2&lt;MAX('Base de datos'!G584:G634)*1.05),F$2=0),1,0)</f>
        <v>1</v>
      </c>
      <c r="G163" s="13">
        <f>IF(OR(AND(G$2&gt;MIN('Base de datos'!H584:H634)/1.05,G$2&lt;MAX('Base de datos'!H584:H634)*1.05),G$2=0),1,0)</f>
        <v>1</v>
      </c>
      <c r="H163" s="13">
        <f>IF(OR(AND(H$2&gt;MIN('Base de datos'!I584:I634)/1.05,H$2&lt;MAX('Base de datos'!I584:I634)*1.05),H$2=0),1,0)</f>
        <v>1</v>
      </c>
      <c r="I163" s="13">
        <f>IF(OR(AND(I$2&gt;MIN('Base de datos'!J584:J634)/1.05,I$2&lt;MAX('Base de datos'!J584:J634)*1.05),I$2=0),1,0)</f>
        <v>1</v>
      </c>
      <c r="J163" s="13">
        <f>IF(OR(AND(J$2&gt;MIN('Base de datos'!K584:K634)/1.05,J$2&lt;MAX('Base de datos'!K584:K634)*1.05),J$2=0),1,0)</f>
        <v>1</v>
      </c>
      <c r="K163" s="13">
        <f>IF(OR(AND(K$2&gt;MIN('Base de datos'!L584:L634)/1.05,K$2&lt;MAX('Base de datos'!L584:L634)*1.05),K$2=0),1,0)</f>
        <v>1</v>
      </c>
      <c r="L163" s="13">
        <f>IF(OR(AND(L$2&gt;MIN('Base de datos'!M584:M634)/1.05,L$2&lt;MAX('Base de datos'!M584:M634)*1.05),L$2=0),1,0)</f>
        <v>1</v>
      </c>
      <c r="N163" s="13">
        <f>PRODUCT(B163:L163)</f>
        <v>1</v>
      </c>
    </row>
    <row r="164" ht="14.25" customHeight="1">
      <c r="B164" s="7" t="s">
        <v>0</v>
      </c>
      <c r="C164" s="7" t="s">
        <v>1</v>
      </c>
      <c r="D164" s="7" t="s">
        <v>2</v>
      </c>
      <c r="E164" s="7" t="s">
        <v>3</v>
      </c>
      <c r="F164" s="7" t="s">
        <v>4</v>
      </c>
      <c r="G164" s="7" t="s">
        <v>5</v>
      </c>
      <c r="H164" s="7" t="s">
        <v>6</v>
      </c>
      <c r="I164" s="7" t="s">
        <v>7</v>
      </c>
      <c r="J164" s="7" t="s">
        <v>8</v>
      </c>
      <c r="K164" s="7" t="s">
        <v>9</v>
      </c>
      <c r="L164" s="7" t="s">
        <v>10</v>
      </c>
      <c r="M164" s="7"/>
      <c r="N164" s="7"/>
    </row>
    <row r="165" ht="14.25" customHeight="1">
      <c r="A165" s="7" t="s">
        <v>35</v>
      </c>
      <c r="J165" s="14"/>
    </row>
    <row r="166" ht="14.25" customHeight="1">
      <c r="A166" s="8" t="s">
        <v>41</v>
      </c>
      <c r="B166" s="14">
        <f>AVERAGE('Base de datos'!C635:C672)</f>
        <v>57.22113567</v>
      </c>
      <c r="C166" s="14">
        <f>AVERAGE('Base de datos'!D635:D672)</f>
        <v>40.74339806</v>
      </c>
      <c r="D166" s="14">
        <f>AVERAGE('Base de datos'!E635:E672)</f>
        <v>69.93594672</v>
      </c>
      <c r="E166" s="14">
        <f>AVERAGE('Base de datos'!F635:F672)</f>
        <v>67.61315789</v>
      </c>
      <c r="F166" s="14">
        <f>AVERAGE('Base de datos'!G635:G672)</f>
        <v>85.38900784</v>
      </c>
      <c r="G166" s="14">
        <f>AVERAGE('Base de datos'!H635:H672)</f>
        <v>54.26500573</v>
      </c>
      <c r="H166" s="14">
        <f>AVERAGE('Base de datos'!I635:I672)</f>
        <v>44.11052632</v>
      </c>
      <c r="I166" s="14">
        <f>AVERAGE('Base de datos'!J635:J672)</f>
        <v>79.02497177</v>
      </c>
      <c r="J166" s="14">
        <f>AVERAGE('Base de datos'!K635:K672)</f>
        <v>122.9498854</v>
      </c>
      <c r="K166" s="14">
        <f>AVERAGE('Base de datos'!L635:L672)</f>
        <v>141.5620581</v>
      </c>
      <c r="L166" s="14">
        <f>AVERAGE('Base de datos'!M635:M672)</f>
        <v>134.2804968</v>
      </c>
    </row>
    <row r="167" ht="14.25" customHeight="1">
      <c r="A167" s="10" t="s">
        <v>42</v>
      </c>
      <c r="B167" s="14">
        <f>STDEV('Base de datos'!C635:C672)</f>
        <v>2.276409343</v>
      </c>
      <c r="C167" s="14">
        <f>STDEV('Base de datos'!D635:D672)</f>
        <v>1.184491194</v>
      </c>
      <c r="D167" s="14">
        <f>STDEV('Base de datos'!E635:E672)</f>
        <v>1.960506234</v>
      </c>
      <c r="E167" s="14">
        <f>STDEV('Base de datos'!F635:F672)</f>
        <v>1.630647534</v>
      </c>
      <c r="F167" s="14">
        <f>STDEV('Base de datos'!G635:G672)</f>
        <v>2.51886058</v>
      </c>
      <c r="G167" s="14">
        <f>STDEV('Base de datos'!H635:H672)</f>
        <v>1.753800698</v>
      </c>
      <c r="H167" s="14">
        <f>STDEV('Base de datos'!I635:I672)</f>
        <v>0.8757358215</v>
      </c>
      <c r="I167" s="14">
        <f>STDEV('Base de datos'!J635:J672)</f>
        <v>2.483843912</v>
      </c>
      <c r="J167" s="14">
        <f>STDEV('Base de datos'!K635:K672)</f>
        <v>2.920830867</v>
      </c>
      <c r="K167" s="14">
        <f>STDEV('Base de datos'!L635:L672)</f>
        <v>3.498047221</v>
      </c>
      <c r="L167" s="14">
        <f>STDEV('Base de datos'!M635:M672)</f>
        <v>3.555395828</v>
      </c>
    </row>
    <row r="168" ht="14.25" customHeight="1">
      <c r="A168" s="10" t="s">
        <v>43</v>
      </c>
      <c r="E168" s="13">
        <f>_xlfn.NORM.DIST(E$2/1.02,E166,E167,TRUE)</f>
        <v>0</v>
      </c>
      <c r="G168" s="13">
        <f>_xlfn.NORM.DIST(G$2/1.02,G166,G167,TRUE)</f>
        <v>0</v>
      </c>
      <c r="K168" s="13">
        <f>_xlfn.NORM.DIST(K$2/1.02,K166,K167,TRUE)</f>
        <v>0</v>
      </c>
    </row>
    <row r="169" ht="14.25" customHeight="1">
      <c r="A169" s="10" t="s">
        <v>44</v>
      </c>
      <c r="E169" s="13">
        <f>_xlfn.NORM.DIST(E$2*1.02,E166,E167,TRUE)</f>
        <v>0</v>
      </c>
      <c r="G169" s="13">
        <f>_xlfn.NORM.DIST(G$2*1.02,G166,G167,TRUE)</f>
        <v>0</v>
      </c>
      <c r="K169" s="13">
        <f>_xlfn.NORM.DIST(K$2*1.02,K166,K167,TRUE)</f>
        <v>0</v>
      </c>
    </row>
    <row r="170" ht="14.25" customHeight="1">
      <c r="A170" s="10" t="s">
        <v>45</v>
      </c>
      <c r="E170" s="13">
        <f>IF(E$2=0,1,E169-E168)</f>
        <v>1</v>
      </c>
      <c r="G170" s="13">
        <f>IF(G$2=0,1,G169-G168)</f>
        <v>1</v>
      </c>
      <c r="K170" s="13">
        <f>IF(K$2=0,1,K169-K168)</f>
        <v>1</v>
      </c>
      <c r="N170" s="13">
        <f>$E170*$G170*$K170</f>
        <v>1</v>
      </c>
      <c r="O170" s="13">
        <f>N170*N171</f>
        <v>1</v>
      </c>
      <c r="P170" s="13">
        <f>O170/($O$213)</f>
        <v>0.03846153846</v>
      </c>
    </row>
    <row r="171" ht="14.25" customHeight="1">
      <c r="A171" s="10" t="s">
        <v>46</v>
      </c>
      <c r="B171" s="13">
        <f>IF(OR(AND(B$2&gt;MIN('Base de datos'!C635:C672)/1.05,B$2&lt;MAX('Base de datos'!C635:C672)*1.05),B$2=0),1,0)</f>
        <v>1</v>
      </c>
      <c r="C171" s="13">
        <f>IF(OR(AND(C$2&gt;MIN('Base de datos'!D635:D672)/1.05,C$2&lt;MAX('Base de datos'!D635:D672)*1.05),C$2=0),1,0)</f>
        <v>1</v>
      </c>
      <c r="D171" s="13">
        <f>IF(OR(AND(D$2&gt;MIN('Base de datos'!E635:E672)/1.05,D$2&lt;MAX('Base de datos'!E635:E672)*1.05),D$2=0),1,0)</f>
        <v>1</v>
      </c>
      <c r="E171" s="13">
        <f>IF(OR(AND(E$2&gt;MIN('Base de datos'!F635:F672)/1.05,E$2&lt;MAX('Base de datos'!F635:F672)*1.05),E$2=0),1,0)</f>
        <v>1</v>
      </c>
      <c r="F171" s="13">
        <f>IF(OR(AND(F$2&gt;MIN('Base de datos'!G635:G672)/1.05,F$2&lt;MAX('Base de datos'!G635:G672)*1.05),F$2=0),1,0)</f>
        <v>1</v>
      </c>
      <c r="G171" s="13">
        <f>IF(OR(AND(G$2&gt;MIN('Base de datos'!H635:H672)/1.05,G$2&lt;MAX('Base de datos'!H635:H672)*1.05),G$2=0),1,0)</f>
        <v>1</v>
      </c>
      <c r="H171" s="13">
        <f>IF(OR(AND(H$2&gt;MIN('Base de datos'!I635:I672)/1.05,H$2&lt;MAX('Base de datos'!I635:I672)*1.05),H$2=0),1,0)</f>
        <v>1</v>
      </c>
      <c r="I171" s="13">
        <f>IF(OR(AND(I$2&gt;MIN('Base de datos'!J635:J672)/1.05,I$2&lt;MAX('Base de datos'!J635:J672)*1.05),I$2=0),1,0)</f>
        <v>1</v>
      </c>
      <c r="J171" s="13">
        <f>IF(OR(AND(J$2&gt;MIN('Base de datos'!K635:K672)/1.05,J$2&lt;MAX('Base de datos'!K635:K672)*1.05),J$2=0),1,0)</f>
        <v>1</v>
      </c>
      <c r="K171" s="13">
        <f>IF(OR(AND(K$2&gt;MIN('Base de datos'!L635:L672)/1.05,K$2&lt;MAX('Base de datos'!L635:L672)*1.05),K$2=0),1,0)</f>
        <v>1</v>
      </c>
      <c r="L171" s="13">
        <f>IF(OR(AND(L$2&gt;MIN('Base de datos'!M635:M672)/1.05,L$2&lt;MAX('Base de datos'!M635:M672)*1.05),L$2=0),1,0)</f>
        <v>1</v>
      </c>
      <c r="N171" s="13">
        <f>PRODUCT(B171:L171)</f>
        <v>1</v>
      </c>
    </row>
    <row r="172" ht="14.25" customHeight="1">
      <c r="B172" s="7" t="s">
        <v>0</v>
      </c>
      <c r="C172" s="7" t="s">
        <v>1</v>
      </c>
      <c r="D172" s="7" t="s">
        <v>2</v>
      </c>
      <c r="E172" s="7" t="s">
        <v>3</v>
      </c>
      <c r="F172" s="7" t="s">
        <v>4</v>
      </c>
      <c r="G172" s="7" t="s">
        <v>5</v>
      </c>
      <c r="H172" s="7" t="s">
        <v>6</v>
      </c>
      <c r="I172" s="7" t="s">
        <v>7</v>
      </c>
      <c r="J172" s="7" t="s">
        <v>8</v>
      </c>
      <c r="K172" s="7" t="s">
        <v>9</v>
      </c>
      <c r="L172" s="7" t="s">
        <v>10</v>
      </c>
      <c r="M172" s="7"/>
      <c r="N172" s="7"/>
    </row>
    <row r="173" ht="14.25" customHeight="1">
      <c r="A173" s="7" t="s">
        <v>36</v>
      </c>
      <c r="J173" s="14"/>
    </row>
    <row r="174" ht="14.25" customHeight="1">
      <c r="A174" s="8" t="s">
        <v>41</v>
      </c>
      <c r="B174" s="14">
        <f>AVERAGE('Base de datos'!C673:C732)</f>
        <v>75.26157387</v>
      </c>
      <c r="C174" s="14">
        <f>AVERAGE('Base de datos'!D673:D732)</f>
        <v>48.35285198</v>
      </c>
      <c r="D174" s="14">
        <f>AVERAGE('Base de datos'!E673:E732)</f>
        <v>95.35717816</v>
      </c>
      <c r="E174" s="14">
        <f>AVERAGE('Base de datos'!F673:F732)</f>
        <v>103.0510719</v>
      </c>
      <c r="F174" s="14">
        <f>AVERAGE('Base de datos'!G673:G732)</f>
        <v>146.3357107</v>
      </c>
      <c r="G174" s="14">
        <f>AVERAGE('Base de datos'!H673:H732)</f>
        <v>100.7074414</v>
      </c>
      <c r="H174" s="14">
        <f>AVERAGE('Base de datos'!I673:I732)</f>
        <v>54.68544764</v>
      </c>
      <c r="I174" s="14">
        <f>AVERAGE('Base de datos'!J673:J732)</f>
        <v>96.57132226</v>
      </c>
      <c r="J174" s="14">
        <f>AVERAGE('Base de datos'!K673:K732)</f>
        <v>143.7149037</v>
      </c>
      <c r="K174" s="14">
        <f>AVERAGE('Base de datos'!L673:L732)</f>
        <v>172.6922881</v>
      </c>
      <c r="L174" s="14">
        <f>AVERAGE('Base de datos'!M673:M732)</f>
        <v>163.1137315</v>
      </c>
    </row>
    <row r="175" ht="14.25" customHeight="1">
      <c r="A175" s="10" t="s">
        <v>42</v>
      </c>
      <c r="B175" s="14">
        <f>STDEV('Base de datos'!C673:C732)</f>
        <v>3.866374029</v>
      </c>
      <c r="C175" s="14">
        <f>STDEV('Base de datos'!D673:D732)</f>
        <v>2.063580666</v>
      </c>
      <c r="D175" s="14">
        <f>STDEV('Base de datos'!E673:E732)</f>
        <v>4.737834372</v>
      </c>
      <c r="E175" s="14">
        <f>STDEV('Base de datos'!F673:F732)</f>
        <v>3.554408007</v>
      </c>
      <c r="F175" s="14">
        <f>STDEV('Base de datos'!G673:G732)</f>
        <v>4.384563228</v>
      </c>
      <c r="G175" s="14">
        <f>STDEV('Base de datos'!H673:H732)</f>
        <v>2.832159457</v>
      </c>
      <c r="H175" s="14">
        <f>STDEV('Base de datos'!I673:I732)</f>
        <v>1.16401519</v>
      </c>
      <c r="I175" s="14">
        <f>STDEV('Base de datos'!J673:J732)</f>
        <v>3.226969467</v>
      </c>
      <c r="J175" s="14">
        <f>STDEV('Base de datos'!K673:K732)</f>
        <v>5.763972978</v>
      </c>
      <c r="K175" s="14">
        <f>STDEV('Base de datos'!L673:L732)</f>
        <v>6.372879336</v>
      </c>
      <c r="L175" s="14">
        <f>STDEV('Base de datos'!M673:M732)</f>
        <v>6.58116589</v>
      </c>
    </row>
    <row r="176" ht="14.25" customHeight="1">
      <c r="A176" s="10" t="s">
        <v>43</v>
      </c>
      <c r="E176" s="13">
        <f>_xlfn.NORM.DIST(E$2/1.02,E174,E175,TRUE)</f>
        <v>0</v>
      </c>
      <c r="G176" s="13">
        <f>_xlfn.NORM.DIST(G$2/1.02,G174,G175,TRUE)</f>
        <v>0</v>
      </c>
      <c r="K176" s="13">
        <f>_xlfn.NORM.DIST(K$2/1.02,K174,K175,TRUE)</f>
        <v>0</v>
      </c>
    </row>
    <row r="177" ht="14.25" customHeight="1">
      <c r="A177" s="10" t="s">
        <v>44</v>
      </c>
      <c r="E177" s="13">
        <f>_xlfn.NORM.DIST(E$2*1.02,E174,E175,TRUE)</f>
        <v>0</v>
      </c>
      <c r="G177" s="13">
        <f>_xlfn.NORM.DIST(G$2*1.02,G174,G175,TRUE)</f>
        <v>0</v>
      </c>
      <c r="K177" s="13">
        <f>_xlfn.NORM.DIST(K$2*1.02,K174,K175,TRUE)</f>
        <v>0</v>
      </c>
    </row>
    <row r="178" ht="14.25" customHeight="1">
      <c r="A178" s="10" t="s">
        <v>45</v>
      </c>
      <c r="E178" s="13">
        <f>IF(E$2=0,1,E177-E176)</f>
        <v>1</v>
      </c>
      <c r="G178" s="13">
        <f>IF(G$2=0,1,G177-G176)</f>
        <v>1</v>
      </c>
      <c r="K178" s="13">
        <f>IF(K$2=0,1,K177-K176)</f>
        <v>1</v>
      </c>
      <c r="N178" s="13">
        <f>$E178*$G178*$K178</f>
        <v>1</v>
      </c>
      <c r="O178" s="13">
        <f>N178*N179</f>
        <v>1</v>
      </c>
      <c r="P178" s="13">
        <f>O178/($O$213)</f>
        <v>0.03846153846</v>
      </c>
    </row>
    <row r="179" ht="14.25" customHeight="1">
      <c r="A179" s="10" t="s">
        <v>46</v>
      </c>
      <c r="B179" s="13">
        <f>IF(OR(AND(B$2&gt;MIN('Base de datos'!C673:C732)/1.05,B$2&lt;MAX('Base de datos'!C673:C732)*1.05),B$2=0),1,0)</f>
        <v>1</v>
      </c>
      <c r="C179" s="13">
        <f>IF(OR(AND(C$2&gt;MIN('Base de datos'!D673:D732)/1.05,C$2&lt;MAX('Base de datos'!D673:D732)*1.05),C$2=0),1,0)</f>
        <v>1</v>
      </c>
      <c r="D179" s="13">
        <f>IF(OR(AND(D$2&gt;MIN('Base de datos'!E673:E732)/1.05,D$2&lt;MAX('Base de datos'!E673:E732)*1.05),D$2=0),1,0)</f>
        <v>1</v>
      </c>
      <c r="E179" s="13">
        <f>IF(OR(AND(E$2&gt;MIN('Base de datos'!F673:F732)/1.05,E$2&lt;MAX('Base de datos'!F673:F732)*1.05),E$2=0),1,0)</f>
        <v>1</v>
      </c>
      <c r="F179" s="13">
        <f>IF(OR(AND(F$2&gt;MIN('Base de datos'!G673:G732)/1.05,F$2&lt;MAX('Base de datos'!G673:G732)*1.05),F$2=0),1,0)</f>
        <v>1</v>
      </c>
      <c r="G179" s="13">
        <f>IF(OR(AND(G$2&gt;MIN('Base de datos'!H673:H732)/1.05,G$2&lt;MAX('Base de datos'!H673:H732)*1.05),G$2=0),1,0)</f>
        <v>1</v>
      </c>
      <c r="H179" s="13">
        <f>IF(OR(AND(H$2&gt;MIN('Base de datos'!I673:I732)/1.05,H$2&lt;MAX('Base de datos'!I673:I732)*1.05),H$2=0),1,0)</f>
        <v>1</v>
      </c>
      <c r="I179" s="13">
        <f>IF(OR(AND(I$2&gt;MIN('Base de datos'!J673:J732)/1.05,I$2&lt;MAX('Base de datos'!J673:J732)*1.05),I$2=0),1,0)</f>
        <v>1</v>
      </c>
      <c r="J179" s="13">
        <f>IF(OR(AND(J$2&gt;MIN('Base de datos'!K673:K732)/1.05,J$2&lt;MAX('Base de datos'!K673:K732)*1.05),J$2=0),1,0)</f>
        <v>1</v>
      </c>
      <c r="K179" s="13">
        <f>IF(OR(AND(K$2&gt;MIN('Base de datos'!L673:L732)/1.05,K$2&lt;MAX('Base de datos'!L673:L732)*1.05),K$2=0),1,0)</f>
        <v>1</v>
      </c>
      <c r="L179" s="13">
        <f>IF(OR(AND(L$2&gt;MIN('Base de datos'!M673:M732)/1.05,L$2&lt;MAX('Base de datos'!M673:M732)*1.05),L$2=0),1,0)</f>
        <v>1</v>
      </c>
      <c r="N179" s="13">
        <f>PRODUCT(B179:L179)</f>
        <v>1</v>
      </c>
    </row>
    <row r="180" ht="14.25" customHeight="1">
      <c r="B180" s="7" t="s">
        <v>0</v>
      </c>
      <c r="C180" s="7" t="s">
        <v>1</v>
      </c>
      <c r="D180" s="7" t="s">
        <v>2</v>
      </c>
      <c r="E180" s="7" t="s">
        <v>3</v>
      </c>
      <c r="F180" s="7" t="s">
        <v>4</v>
      </c>
      <c r="G180" s="7" t="s">
        <v>5</v>
      </c>
      <c r="H180" s="7" t="s">
        <v>6</v>
      </c>
      <c r="I180" s="7" t="s">
        <v>7</v>
      </c>
      <c r="J180" s="7" t="s">
        <v>8</v>
      </c>
      <c r="K180" s="7" t="s">
        <v>9</v>
      </c>
      <c r="L180" s="7" t="s">
        <v>10</v>
      </c>
      <c r="M180" s="7"/>
      <c r="N180" s="7"/>
    </row>
    <row r="181" ht="14.25" customHeight="1">
      <c r="A181" s="7" t="s">
        <v>37</v>
      </c>
      <c r="J181" s="14"/>
    </row>
    <row r="182" ht="14.25" customHeight="1">
      <c r="A182" s="8" t="s">
        <v>41</v>
      </c>
      <c r="B182" s="14">
        <f>AVERAGE('Base de datos'!C733:C756)</f>
        <v>64.51666667</v>
      </c>
      <c r="C182" s="14">
        <f>AVERAGE('Base de datos'!D733:D756)</f>
        <v>60.15</v>
      </c>
      <c r="D182" s="14">
        <f>AVERAGE('Base de datos'!E733:E756)</f>
        <v>83.49210965</v>
      </c>
      <c r="E182" s="14">
        <f>AVERAGE('Base de datos'!F733:F756)</f>
        <v>76.88333333</v>
      </c>
      <c r="F182" s="14">
        <f>AVERAGE('Base de datos'!G733:G756)</f>
        <v>123.486323</v>
      </c>
      <c r="G182" s="14">
        <f>AVERAGE('Base de datos'!H733:H756)</f>
        <v>52.91622272</v>
      </c>
      <c r="H182" s="14">
        <f>AVERAGE('Base de datos'!I733:I756)</f>
        <v>42.05203997</v>
      </c>
      <c r="I182" s="14">
        <f>AVERAGE('Base de datos'!J733:J756)</f>
        <v>78.81857857</v>
      </c>
      <c r="J182" s="14">
        <f>AVERAGE('Base de datos'!K733:K756)</f>
        <v>144.0633224</v>
      </c>
      <c r="K182" s="14">
        <f>AVERAGE('Base de datos'!L733:L756)</f>
        <v>182.2786891</v>
      </c>
      <c r="L182" s="14">
        <f>AVERAGE('Base de datos'!M733:M756)</f>
        <v>174.9088032</v>
      </c>
    </row>
    <row r="183" ht="14.25" customHeight="1">
      <c r="A183" s="10" t="s">
        <v>42</v>
      </c>
      <c r="B183" s="14">
        <f>STDEV('Base de datos'!C733:C756)</f>
        <v>4.019373374</v>
      </c>
      <c r="C183" s="14">
        <f>STDEV('Base de datos'!D733:D756)</f>
        <v>2.330888989</v>
      </c>
      <c r="D183" s="14">
        <f>STDEV('Base de datos'!E733:E756)</f>
        <v>3.867565921</v>
      </c>
      <c r="E183" s="14">
        <f>STDEV('Base de datos'!F733:F756)</f>
        <v>2.185857043</v>
      </c>
      <c r="F183" s="14">
        <f>STDEV('Base de datos'!G733:G756)</f>
        <v>4.008930881</v>
      </c>
      <c r="G183" s="14">
        <f>STDEV('Base de datos'!H733:H756)</f>
        <v>1.179732624</v>
      </c>
      <c r="H183" s="14">
        <f>STDEV('Base de datos'!I733:I756)</f>
        <v>1.184861043</v>
      </c>
      <c r="I183" s="14">
        <f>STDEV('Base de datos'!J733:J756)</f>
        <v>2.687669272</v>
      </c>
      <c r="J183" s="14">
        <f>STDEV('Base de datos'!K733:K756)</f>
        <v>3.641021187</v>
      </c>
      <c r="K183" s="14">
        <f>STDEV('Base de datos'!L733:L756)</f>
        <v>4.869137887</v>
      </c>
      <c r="L183" s="14">
        <f>STDEV('Base de datos'!M733:M756)</f>
        <v>3.9801585</v>
      </c>
    </row>
    <row r="184" ht="14.25" customHeight="1">
      <c r="A184" s="10" t="s">
        <v>43</v>
      </c>
      <c r="E184" s="13">
        <f>_xlfn.NORM.DIST(E$2/1.02,E182,E183,TRUE)</f>
        <v>0</v>
      </c>
      <c r="G184" s="13">
        <f>_xlfn.NORM.DIST(G$2/1.02,G182,G183,TRUE)</f>
        <v>0</v>
      </c>
      <c r="K184" s="13">
        <f>_xlfn.NORM.DIST(K$2/1.02,K182,K183,TRUE)</f>
        <v>0</v>
      </c>
    </row>
    <row r="185" ht="14.25" customHeight="1">
      <c r="A185" s="10" t="s">
        <v>44</v>
      </c>
      <c r="E185" s="13">
        <f>_xlfn.NORM.DIST(E$2*1.02,E182,E183,TRUE)</f>
        <v>0</v>
      </c>
      <c r="G185" s="13">
        <f>_xlfn.NORM.DIST(G$2*1.02,G182,G183,TRUE)</f>
        <v>0</v>
      </c>
      <c r="K185" s="13">
        <f>_xlfn.NORM.DIST(K$2*1.02,K182,K183,TRUE)</f>
        <v>0</v>
      </c>
    </row>
    <row r="186" ht="14.25" customHeight="1">
      <c r="A186" s="10" t="s">
        <v>45</v>
      </c>
      <c r="E186" s="13">
        <f>IF(E$2=0,1,E185-E184)</f>
        <v>1</v>
      </c>
      <c r="G186" s="13">
        <f>IF(G$2=0,1,G185-G184)</f>
        <v>1</v>
      </c>
      <c r="K186" s="13">
        <f>IF(K$2=0,1,K185-K184)</f>
        <v>1</v>
      </c>
      <c r="N186" s="13">
        <f>$E186*$G186*$K186</f>
        <v>1</v>
      </c>
      <c r="O186" s="13">
        <f>N186*N187</f>
        <v>1</v>
      </c>
      <c r="P186" s="13">
        <f>O186/($O$213)</f>
        <v>0.03846153846</v>
      </c>
    </row>
    <row r="187" ht="14.25" customHeight="1">
      <c r="A187" s="10" t="s">
        <v>46</v>
      </c>
      <c r="B187" s="13">
        <f>IF(OR(AND(B$2&gt;MIN('Base de datos'!C733:C756)/1.05,B$2&lt;MAX('Base de datos'!C733:C756)*1.05),B$2=0),1,0)</f>
        <v>1</v>
      </c>
      <c r="C187" s="13">
        <f>IF(OR(AND(C$2&gt;MIN('Base de datos'!D733:D756)/1.05,C$2&lt;MAX('Base de datos'!D733:D756)*1.05),C$2=0),1,0)</f>
        <v>1</v>
      </c>
      <c r="D187" s="13">
        <f>IF(OR(AND(D$2&gt;MIN('Base de datos'!E733:E756)/1.05,D$2&lt;MAX('Base de datos'!E733:E756)*1.05),D$2=0),1,0)</f>
        <v>1</v>
      </c>
      <c r="E187" s="13">
        <f>IF(OR(AND(E$2&gt;MIN('Base de datos'!F733:F756)/1.05,E$2&lt;MAX('Base de datos'!F733:F756)*1.05),E$2=0),1,0)</f>
        <v>1</v>
      </c>
      <c r="F187" s="13">
        <f>IF(OR(AND(F$2&gt;MIN('Base de datos'!G733:G756)/1.05,F$2&lt;MAX('Base de datos'!G733:G756)*1.05),F$2=0),1,0)</f>
        <v>1</v>
      </c>
      <c r="G187" s="13">
        <f>IF(OR(AND(G$2&gt;MIN('Base de datos'!H733:H756)/1.05,G$2&lt;MAX('Base de datos'!H733:H756)*1.05),G$2=0),1,0)</f>
        <v>1</v>
      </c>
      <c r="H187" s="13">
        <f>IF(OR(AND(H$2&gt;MIN('Base de datos'!I733:I756)/1.05,H$2&lt;MAX('Base de datos'!I733:I756)*1.05),H$2=0),1,0)</f>
        <v>1</v>
      </c>
      <c r="I187" s="13">
        <f>IF(OR(AND(I$2&gt;MIN('Base de datos'!J733:J756)/1.05,I$2&lt;MAX('Base de datos'!J733:J756)*1.05),I$2=0),1,0)</f>
        <v>1</v>
      </c>
      <c r="J187" s="13">
        <f>IF(OR(AND(J$2&gt;MIN('Base de datos'!K733:K756)/1.05,J$2&lt;MAX('Base de datos'!K733:K756)*1.05),J$2=0),1,0)</f>
        <v>1</v>
      </c>
      <c r="K187" s="13">
        <f>IF(OR(AND(K$2&gt;MIN('Base de datos'!L733:L756)/1.05,K$2&lt;MAX('Base de datos'!L733:L756)*1.05),K$2=0),1,0)</f>
        <v>1</v>
      </c>
      <c r="L187" s="13">
        <f>IF(OR(AND(L$2&gt;MIN('Base de datos'!M733:M756)/1.05,L$2&lt;MAX('Base de datos'!M733:M756)*1.05),L$2=0),1,0)</f>
        <v>1</v>
      </c>
      <c r="N187" s="13">
        <f>PRODUCT(B187:L187)</f>
        <v>1</v>
      </c>
    </row>
    <row r="188" ht="14.25" customHeight="1">
      <c r="B188" s="7" t="s">
        <v>0</v>
      </c>
      <c r="C188" s="7" t="s">
        <v>1</v>
      </c>
      <c r="D188" s="7" t="s">
        <v>2</v>
      </c>
      <c r="E188" s="7" t="s">
        <v>3</v>
      </c>
      <c r="F188" s="7" t="s">
        <v>4</v>
      </c>
      <c r="G188" s="7" t="s">
        <v>5</v>
      </c>
      <c r="H188" s="7" t="s">
        <v>6</v>
      </c>
      <c r="I188" s="7" t="s">
        <v>7</v>
      </c>
      <c r="J188" s="7" t="s">
        <v>8</v>
      </c>
      <c r="K188" s="7" t="s">
        <v>9</v>
      </c>
      <c r="L188" s="7" t="s">
        <v>10</v>
      </c>
      <c r="M188" s="7"/>
      <c r="N188" s="7"/>
    </row>
    <row r="189" ht="14.25" customHeight="1">
      <c r="A189" s="7" t="s">
        <v>38</v>
      </c>
      <c r="J189" s="14"/>
    </row>
    <row r="190" ht="14.25" customHeight="1">
      <c r="A190" s="8" t="s">
        <v>41</v>
      </c>
      <c r="B190" s="14">
        <f>AVERAGE('Base de datos'!C757:C771)</f>
        <v>122.1466667</v>
      </c>
      <c r="C190" s="14">
        <f>AVERAGE('Base de datos'!D757:D771)</f>
        <v>65.54666667</v>
      </c>
      <c r="D190" s="14">
        <f>AVERAGE('Base de datos'!E757:E771)</f>
        <v>123.26</v>
      </c>
      <c r="E190" s="14">
        <f>AVERAGE('Base de datos'!F757:F771)</f>
        <v>119.42</v>
      </c>
      <c r="F190" s="14">
        <f>AVERAGE('Base de datos'!G757:G771)</f>
        <v>167.9133333</v>
      </c>
      <c r="G190" s="14">
        <f>AVERAGE('Base de datos'!H757:H771)</f>
        <v>94.76</v>
      </c>
      <c r="H190" s="14">
        <f>AVERAGE('Base de datos'!I757:I771)</f>
        <v>69.54666667</v>
      </c>
      <c r="I190" s="14">
        <f>AVERAGE('Base de datos'!J757:J771)</f>
        <v>148.692</v>
      </c>
      <c r="J190" s="14">
        <f>AVERAGE('Base de datos'!K757:K771)</f>
        <v>227.5266667</v>
      </c>
      <c r="K190" s="14">
        <f>AVERAGE('Base de datos'!L757:L771)</f>
        <v>259.0266667</v>
      </c>
      <c r="L190" s="14">
        <f>AVERAGE('Base de datos'!M757:M771)</f>
        <v>255.8333333</v>
      </c>
    </row>
    <row r="191" ht="14.25" customHeight="1">
      <c r="A191" s="10" t="s">
        <v>42</v>
      </c>
      <c r="B191" s="14">
        <f>STDEV('Base de datos'!C757:C771)</f>
        <v>7.300867528</v>
      </c>
      <c r="C191" s="14">
        <f>STDEV('Base de datos'!D757:D771)</f>
        <v>1.517924648</v>
      </c>
      <c r="D191" s="14">
        <f>STDEV('Base de datos'!E757:E771)</f>
        <v>5.069065848</v>
      </c>
      <c r="E191" s="14">
        <f>STDEV('Base de datos'!F757:F771)</f>
        <v>4.824964841</v>
      </c>
      <c r="F191" s="14">
        <f>STDEV('Base de datos'!G757:G771)</f>
        <v>4.877479833</v>
      </c>
      <c r="G191" s="14">
        <f>STDEV('Base de datos'!H757:H771)</f>
        <v>2.848257613</v>
      </c>
      <c r="H191" s="14">
        <f>STDEV('Base de datos'!I757:I771)</f>
        <v>2.39280668</v>
      </c>
      <c r="I191" s="14">
        <f>STDEV('Base de datos'!J757:J771)</f>
        <v>4.583888243</v>
      </c>
      <c r="J191" s="14">
        <f>STDEV('Base de datos'!K757:K771)</f>
        <v>6.856432503</v>
      </c>
      <c r="K191" s="14">
        <f>STDEV('Base de datos'!L757:L771)</f>
        <v>8.098894692</v>
      </c>
      <c r="L191" s="14">
        <f>STDEV('Base de datos'!M757:M771)</f>
        <v>17.90888314</v>
      </c>
    </row>
    <row r="192" ht="14.25" customHeight="1">
      <c r="A192" s="10" t="s">
        <v>43</v>
      </c>
      <c r="E192" s="13">
        <f>_xlfn.NORM.DIST(E$2/1.02,E190,E191,TRUE)</f>
        <v>0</v>
      </c>
      <c r="G192" s="13">
        <f>_xlfn.NORM.DIST(G$2/1.02,G190,G191,TRUE)</f>
        <v>0</v>
      </c>
      <c r="K192" s="13">
        <f>_xlfn.NORM.DIST(K$2/1.02,K190,K191,TRUE)</f>
        <v>0</v>
      </c>
    </row>
    <row r="193" ht="14.25" customHeight="1">
      <c r="A193" s="10" t="s">
        <v>44</v>
      </c>
      <c r="E193" s="13">
        <f>_xlfn.NORM.DIST(E$2*1.02,E190,E191,TRUE)</f>
        <v>0</v>
      </c>
      <c r="G193" s="13">
        <f>_xlfn.NORM.DIST(G$2*1.02,G190,G191,TRUE)</f>
        <v>0</v>
      </c>
      <c r="K193" s="13">
        <f>_xlfn.NORM.DIST(K$2*1.02,K190,K191,TRUE)</f>
        <v>0</v>
      </c>
    </row>
    <row r="194" ht="14.25" customHeight="1">
      <c r="A194" s="10" t="s">
        <v>45</v>
      </c>
      <c r="E194" s="13">
        <f>IF(E$2=0,1,E193-E192)</f>
        <v>1</v>
      </c>
      <c r="G194" s="13">
        <f>IF(G$2=0,1,G193-G192)</f>
        <v>1</v>
      </c>
      <c r="K194" s="13">
        <f>IF(K$2=0,1,K193-K192)</f>
        <v>1</v>
      </c>
      <c r="N194" s="13">
        <f>$E194*$G194*$K194</f>
        <v>1</v>
      </c>
      <c r="O194" s="13">
        <f>N194*N195</f>
        <v>1</v>
      </c>
      <c r="P194" s="13">
        <f>O194/($O$213)</f>
        <v>0.03846153846</v>
      </c>
    </row>
    <row r="195" ht="14.25" customHeight="1">
      <c r="A195" s="10" t="s">
        <v>46</v>
      </c>
      <c r="B195" s="13">
        <f>IF(OR(AND(B$2&gt;MIN('Base de datos'!C757:C771)/1.05,B$2&lt;MAX('Base de datos'!C757:C771)*1.05),B$2=0),1,0)</f>
        <v>1</v>
      </c>
      <c r="C195" s="13">
        <f>IF(OR(AND(C$2&gt;MIN('Base de datos'!D757:D771)/1.05,C$2&lt;MAX('Base de datos'!D757:D771)*1.05),C$2=0),1,0)</f>
        <v>1</v>
      </c>
      <c r="D195" s="13">
        <f>IF(OR(AND(D$2&gt;MIN('Base de datos'!E757:E771)/1.05,D$2&lt;MAX('Base de datos'!E757:E771)*1.05),D$2=0),1,0)</f>
        <v>1</v>
      </c>
      <c r="E195" s="13">
        <f>IF(OR(AND(E$2&gt;MIN('Base de datos'!F757:F771)/1.05,E$2&lt;MAX('Base de datos'!F757:F771)*1.05),E$2=0),1,0)</f>
        <v>1</v>
      </c>
      <c r="F195" s="13">
        <f>IF(OR(AND(F$2&gt;MIN('Base de datos'!G757:G771)/1.05,F$2&lt;MAX('Base de datos'!G757:G771)*1.05),F$2=0),1,0)</f>
        <v>1</v>
      </c>
      <c r="G195" s="13">
        <f>IF(OR(AND(G$2&gt;MIN('Base de datos'!H757:H771)/1.05,G$2&lt;MAX('Base de datos'!H757:H771)*1.05),G$2=0),1,0)</f>
        <v>1</v>
      </c>
      <c r="H195" s="13">
        <f>IF(OR(AND(H$2&gt;MIN('Base de datos'!I757:I771)/1.05,H$2&lt;MAX('Base de datos'!I757:I771)*1.05),H$2=0),1,0)</f>
        <v>1</v>
      </c>
      <c r="I195" s="13">
        <f>IF(OR(AND(I$2&gt;MIN('Base de datos'!J757:J771)/1.05,I$2&lt;MAX('Base de datos'!J757:J771)*1.05),I$2=0),1,0)</f>
        <v>1</v>
      </c>
      <c r="J195" s="13">
        <f>IF(OR(AND(J$2&gt;MIN('Base de datos'!K757:K771)/1.05,J$2&lt;MAX('Base de datos'!K757:K771)*1.05),J$2=0),1,0)</f>
        <v>1</v>
      </c>
      <c r="K195" s="13">
        <f>IF(OR(AND(K$2&gt;MIN('Base de datos'!L757:L771)/1.05,K$2&lt;MAX('Base de datos'!L757:L771)*1.05),K$2=0),1,0)</f>
        <v>1</v>
      </c>
      <c r="L195" s="13">
        <f>IF(OR(AND(L$2&gt;MIN('Base de datos'!M757:M771)/1.05,L$2&lt;MAX('Base de datos'!M757:M771)*1.05),L$2=0),1,0)</f>
        <v>1</v>
      </c>
      <c r="N195" s="13">
        <f>PRODUCT(B195:L195)</f>
        <v>1</v>
      </c>
    </row>
    <row r="196" ht="14.25" customHeight="1">
      <c r="B196" s="7" t="s">
        <v>0</v>
      </c>
      <c r="C196" s="7" t="s">
        <v>1</v>
      </c>
      <c r="D196" s="7" t="s">
        <v>2</v>
      </c>
      <c r="E196" s="7" t="s">
        <v>3</v>
      </c>
      <c r="F196" s="7" t="s">
        <v>4</v>
      </c>
      <c r="G196" s="7" t="s">
        <v>5</v>
      </c>
      <c r="H196" s="7" t="s">
        <v>6</v>
      </c>
      <c r="I196" s="7" t="s">
        <v>7</v>
      </c>
      <c r="J196" s="7" t="s">
        <v>8</v>
      </c>
      <c r="K196" s="7" t="s">
        <v>9</v>
      </c>
      <c r="L196" s="7" t="s">
        <v>10</v>
      </c>
      <c r="M196" s="7"/>
      <c r="N196" s="7"/>
    </row>
    <row r="197" ht="14.25" customHeight="1">
      <c r="A197" s="7" t="s">
        <v>39</v>
      </c>
      <c r="J197" s="14"/>
    </row>
    <row r="198" ht="14.25" customHeight="1">
      <c r="A198" s="8" t="s">
        <v>41</v>
      </c>
      <c r="B198" s="14">
        <f>AVERAGE('Base de datos'!C772:C805)</f>
        <v>51.15</v>
      </c>
      <c r="C198" s="14">
        <f>AVERAGE('Base de datos'!D772:D805)</f>
        <v>35.68289991</v>
      </c>
      <c r="D198" s="14">
        <f>AVERAGE('Base de datos'!E772:E805)</f>
        <v>61.41672733</v>
      </c>
      <c r="E198" s="14">
        <f>AVERAGE('Base de datos'!F772:F805)</f>
        <v>72.55588235</v>
      </c>
      <c r="F198" s="14">
        <f>AVERAGE('Base de datos'!G772:G805)</f>
        <v>98.77352941</v>
      </c>
      <c r="G198" s="14">
        <f>AVERAGE('Base de datos'!H772:H805)</f>
        <v>73.52869275</v>
      </c>
      <c r="H198" s="14">
        <f>AVERAGE('Base de datos'!I772:I805)</f>
        <v>44.21176471</v>
      </c>
      <c r="I198" s="14">
        <f>AVERAGE('Base de datos'!J772:J805)</f>
        <v>75.10566859</v>
      </c>
      <c r="J198" s="14">
        <f>AVERAGE('Base de datos'!K772:K805)</f>
        <v>100.7941176</v>
      </c>
      <c r="K198" s="14">
        <f>AVERAGE('Base de datos'!L772:L805)</f>
        <v>118.543303</v>
      </c>
      <c r="L198" s="14">
        <f>AVERAGE('Base de datos'!M772:M805)</f>
        <v>112.6235294</v>
      </c>
    </row>
    <row r="199" ht="14.25" customHeight="1">
      <c r="A199" s="10" t="s">
        <v>42</v>
      </c>
      <c r="B199" s="14">
        <f>STDEV('Base de datos'!C772:C805)</f>
        <v>2.347693904</v>
      </c>
      <c r="C199" s="14">
        <f>STDEV('Base de datos'!D772:D805)</f>
        <v>1.819312928</v>
      </c>
      <c r="D199" s="14">
        <f>STDEV('Base de datos'!E772:E805)</f>
        <v>3.034019595</v>
      </c>
      <c r="E199" s="14">
        <f>STDEV('Base de datos'!F772:F805)</f>
        <v>2.167555693</v>
      </c>
      <c r="F199" s="14">
        <f>STDEV('Base de datos'!G772:G805)</f>
        <v>2.918728327</v>
      </c>
      <c r="G199" s="14">
        <f>STDEV('Base de datos'!H772:H805)</f>
        <v>2.412552351</v>
      </c>
      <c r="H199" s="14">
        <f>STDEV('Base de datos'!I772:I805)</f>
        <v>1.243836856</v>
      </c>
      <c r="I199" s="14">
        <f>STDEV('Base de datos'!J772:J805)</f>
        <v>3.181113637</v>
      </c>
      <c r="J199" s="14">
        <f>STDEV('Base de datos'!K772:K805)</f>
        <v>3.532956627</v>
      </c>
      <c r="K199" s="14">
        <f>STDEV('Base de datos'!L772:L805)</f>
        <v>3.966234923</v>
      </c>
      <c r="L199" s="14">
        <f>STDEV('Base de datos'!M772:M805)</f>
        <v>4.05119203</v>
      </c>
    </row>
    <row r="200" ht="14.25" customHeight="1">
      <c r="A200" s="10" t="s">
        <v>43</v>
      </c>
      <c r="E200" s="13">
        <f>_xlfn.NORM.DIST(E$2/1.02,E198,E199,TRUE)</f>
        <v>0</v>
      </c>
      <c r="G200" s="13">
        <f>_xlfn.NORM.DIST(G$2/1.02,G198,G199,TRUE)</f>
        <v>0</v>
      </c>
      <c r="K200" s="13">
        <f>_xlfn.NORM.DIST(K$2/1.02,K198,K199,TRUE)</f>
        <v>0</v>
      </c>
    </row>
    <row r="201" ht="14.25" customHeight="1">
      <c r="A201" s="10" t="s">
        <v>44</v>
      </c>
      <c r="E201" s="13">
        <f>_xlfn.NORM.DIST(E$2*1.02,E198,E199,TRUE)</f>
        <v>0</v>
      </c>
      <c r="G201" s="13">
        <f>_xlfn.NORM.DIST(G$2*1.02,G198,G199,TRUE)</f>
        <v>0</v>
      </c>
      <c r="K201" s="13">
        <f>_xlfn.NORM.DIST(K$2*1.02,K198,K199,TRUE)</f>
        <v>0</v>
      </c>
    </row>
    <row r="202" ht="14.25" customHeight="1">
      <c r="A202" s="10" t="s">
        <v>45</v>
      </c>
      <c r="E202" s="13">
        <f>IF(E$2=0,1,E201-E200)</f>
        <v>1</v>
      </c>
      <c r="G202" s="13">
        <f>IF(G$2=0,1,G201-G200)</f>
        <v>1</v>
      </c>
      <c r="K202" s="13">
        <f>IF(K$2=0,1,K201-K200)</f>
        <v>1</v>
      </c>
      <c r="N202" s="13">
        <f>$E202*$G202*$K202</f>
        <v>1</v>
      </c>
      <c r="O202" s="13">
        <f>N202*N203</f>
        <v>1</v>
      </c>
      <c r="P202" s="13">
        <f>O202/($O$213)</f>
        <v>0.03846153846</v>
      </c>
    </row>
    <row r="203" ht="14.25" customHeight="1">
      <c r="A203" s="10" t="s">
        <v>46</v>
      </c>
      <c r="B203" s="13">
        <f>IF(OR(AND(B$2&gt;MIN('Base de datos'!C772:C805)/1.05,B$2&lt;MAX('Base de datos'!C772:C805)*1.05),B$2=0),1,0)</f>
        <v>1</v>
      </c>
      <c r="C203" s="13">
        <f>IF(OR(AND(C$2&gt;MIN('Base de datos'!D772:D805)/1.05,C$2&lt;MAX('Base de datos'!D772:D805)*1.05),C$2=0),1,0)</f>
        <v>1</v>
      </c>
      <c r="D203" s="13">
        <f>IF(OR(AND(D$2&gt;MIN('Base de datos'!E772:E805)/1.05,D$2&lt;MAX('Base de datos'!E772:E805)*1.05),D$2=0),1,0)</f>
        <v>1</v>
      </c>
      <c r="E203" s="13">
        <f>IF(OR(AND(E$2&gt;MIN('Base de datos'!F772:F805)/1.05,E$2&lt;MAX('Base de datos'!F772:F805)*1.05),E$2=0),1,0)</f>
        <v>1</v>
      </c>
      <c r="F203" s="13">
        <f>IF(OR(AND(F$2&gt;MIN('Base de datos'!G772:G805)/1.05,F$2&lt;MAX('Base de datos'!G772:G805)*1.05),F$2=0),1,0)</f>
        <v>1</v>
      </c>
      <c r="G203" s="13">
        <f>IF(OR(AND(G$2&gt;MIN('Base de datos'!H772:H805)/1.05,G$2&lt;MAX('Base de datos'!H772:H805)*1.05),G$2=0),1,0)</f>
        <v>1</v>
      </c>
      <c r="H203" s="13">
        <f>IF(OR(AND(H$2&gt;MIN('Base de datos'!I772:I805)/1.05,H$2&lt;MAX('Base de datos'!I772:I805)*1.05),H$2=0),1,0)</f>
        <v>1</v>
      </c>
      <c r="I203" s="13">
        <f>IF(OR(AND(I$2&gt;MIN('Base de datos'!J772:J805)/1.05,I$2&lt;MAX('Base de datos'!J772:J805)*1.05),I$2=0),1,0)</f>
        <v>1</v>
      </c>
      <c r="J203" s="13">
        <f>IF(OR(AND(J$2&gt;MIN('Base de datos'!K772:K805)/1.05,J$2&lt;MAX('Base de datos'!K772:K805)*1.05),J$2=0),1,0)</f>
        <v>1</v>
      </c>
      <c r="K203" s="13">
        <f>IF(OR(AND(K$2&gt;MIN('Base de datos'!L772:L805)/1.05,K$2&lt;MAX('Base de datos'!L772:L805)*1.05),K$2=0),1,0)</f>
        <v>1</v>
      </c>
      <c r="L203" s="13">
        <f>IF(OR(AND(L$2&gt;MIN('Base de datos'!M772:M805)/1.05,L$2&lt;MAX('Base de datos'!M772:M805)*1.05),L$2=0),1,0)</f>
        <v>1</v>
      </c>
      <c r="N203" s="13">
        <f>PRODUCT(B203:L203)</f>
        <v>1</v>
      </c>
    </row>
    <row r="204" ht="14.25" customHeight="1">
      <c r="B204" s="7" t="s">
        <v>0</v>
      </c>
      <c r="C204" s="7" t="s">
        <v>1</v>
      </c>
      <c r="D204" s="7" t="s">
        <v>2</v>
      </c>
      <c r="E204" s="7" t="s">
        <v>3</v>
      </c>
      <c r="F204" s="7" t="s">
        <v>4</v>
      </c>
      <c r="G204" s="7" t="s">
        <v>5</v>
      </c>
      <c r="H204" s="7" t="s">
        <v>6</v>
      </c>
      <c r="I204" s="7" t="s">
        <v>7</v>
      </c>
      <c r="J204" s="7" t="s">
        <v>8</v>
      </c>
      <c r="K204" s="7" t="s">
        <v>9</v>
      </c>
      <c r="L204" s="7" t="s">
        <v>10</v>
      </c>
      <c r="M204" s="7"/>
      <c r="N204" s="7"/>
    </row>
    <row r="205" ht="14.25" customHeight="1">
      <c r="A205" s="7" t="s">
        <v>40</v>
      </c>
      <c r="J205" s="14"/>
    </row>
    <row r="206" ht="14.25" customHeight="1">
      <c r="A206" s="8" t="s">
        <v>41</v>
      </c>
      <c r="B206" s="14">
        <f>AVERAGE('Base de datos'!C806:C852)</f>
        <v>92.04622332</v>
      </c>
      <c r="C206" s="14">
        <f>AVERAGE('Base de datos'!D806:D852)</f>
        <v>60.4054599</v>
      </c>
      <c r="D206" s="14">
        <f>AVERAGE('Base de datos'!E806:E852)</f>
        <v>118.410004</v>
      </c>
      <c r="E206" s="14">
        <f>AVERAGE('Base de datos'!F806:F852)</f>
        <v>127.2377955</v>
      </c>
      <c r="F206" s="14">
        <f>AVERAGE('Base de datos'!G806:G852)</f>
        <v>172.5346907</v>
      </c>
      <c r="G206" s="14">
        <f>AVERAGE('Base de datos'!H806:H852)</f>
        <v>108.1319007</v>
      </c>
      <c r="H206" s="14">
        <f>AVERAGE('Base de datos'!I806:I852)</f>
        <v>62.73358834</v>
      </c>
      <c r="I206" s="14">
        <f>AVERAGE('Base de datos'!J806:J852)</f>
        <v>113.6368598</v>
      </c>
      <c r="J206" s="14">
        <f>AVERAGE('Base de datos'!K806:K852)</f>
        <v>186.2818764</v>
      </c>
      <c r="K206" s="14">
        <f>AVERAGE('Base de datos'!L806:L852)</f>
        <v>218.6522712</v>
      </c>
      <c r="L206" s="14">
        <f>AVERAGE('Base de datos'!M806:M852)</f>
        <v>205.5372027</v>
      </c>
    </row>
    <row r="207" ht="14.25" customHeight="1">
      <c r="A207" s="10" t="s">
        <v>42</v>
      </c>
      <c r="B207" s="14">
        <f>STDEV('Base de datos'!C806:C852)</f>
        <v>5.470896065</v>
      </c>
      <c r="C207" s="14">
        <f>STDEV('Base de datos'!D806:D852)</f>
        <v>3.547416509</v>
      </c>
      <c r="D207" s="14">
        <f>STDEV('Base de datos'!E806:E852)</f>
        <v>6.386064274</v>
      </c>
      <c r="E207" s="14">
        <f>STDEV('Base de datos'!F806:F852)</f>
        <v>5.16971838</v>
      </c>
      <c r="F207" s="14">
        <f>STDEV('Base de datos'!G806:G852)</f>
        <v>5.840757702</v>
      </c>
      <c r="G207" s="14">
        <f>STDEV('Base de datos'!H806:H852)</f>
        <v>3.980571178</v>
      </c>
      <c r="H207" s="14">
        <f>STDEV('Base de datos'!I806:I852)</f>
        <v>1.938223116</v>
      </c>
      <c r="I207" s="14">
        <f>STDEV('Base de datos'!J806:J852)</f>
        <v>3.632211943</v>
      </c>
      <c r="J207" s="14">
        <f>STDEV('Base de datos'!K806:K852)</f>
        <v>10.43973328</v>
      </c>
      <c r="K207" s="14">
        <f>STDEV('Base de datos'!L806:L852)</f>
        <v>9.993378711</v>
      </c>
      <c r="L207" s="14">
        <f>STDEV('Base de datos'!M806:M852)</f>
        <v>9.914270433</v>
      </c>
    </row>
    <row r="208" ht="14.25" customHeight="1">
      <c r="A208" s="10" t="s">
        <v>43</v>
      </c>
      <c r="E208" s="13">
        <f>_xlfn.NORM.DIST(E$2/1.02,E206,E207,TRUE)</f>
        <v>0</v>
      </c>
      <c r="G208" s="13">
        <f>_xlfn.NORM.DIST(G$2/1.02,G206,G207,TRUE)</f>
        <v>0</v>
      </c>
      <c r="K208" s="13">
        <f>_xlfn.NORM.DIST(K$2/1.02,K206,K207,TRUE)</f>
        <v>0</v>
      </c>
    </row>
    <row r="209" ht="14.25" customHeight="1">
      <c r="A209" s="10" t="s">
        <v>44</v>
      </c>
      <c r="E209" s="13">
        <f>_xlfn.NORM.DIST(E$2*1.02,E206,E207,TRUE)</f>
        <v>0</v>
      </c>
      <c r="G209" s="13">
        <f>_xlfn.NORM.DIST(G$2*1.02,G206,G207,TRUE)</f>
        <v>0</v>
      </c>
      <c r="K209" s="13">
        <f>_xlfn.NORM.DIST(K$2*1.02,K206,K207,TRUE)</f>
        <v>0</v>
      </c>
    </row>
    <row r="210" ht="14.25" customHeight="1">
      <c r="A210" s="10" t="s">
        <v>45</v>
      </c>
      <c r="E210" s="13">
        <f>IF(E$2=0,1,E209-E208)</f>
        <v>1</v>
      </c>
      <c r="G210" s="13">
        <f>IF(G$2=0,1,G209-G208)</f>
        <v>1</v>
      </c>
      <c r="K210" s="13">
        <f>IF(K$2=0,1,K209-K208)</f>
        <v>1</v>
      </c>
      <c r="N210" s="13">
        <f>$E210*$G210*$K210</f>
        <v>1</v>
      </c>
      <c r="O210" s="13">
        <f>N210*N211</f>
        <v>1</v>
      </c>
      <c r="P210" s="13">
        <f>O210/($O$213)</f>
        <v>0.03846153846</v>
      </c>
    </row>
    <row r="211" ht="14.25" customHeight="1">
      <c r="A211" s="10" t="s">
        <v>46</v>
      </c>
      <c r="B211" s="13">
        <f>IF(OR(AND(B$2&gt;MIN('Base de datos'!C806:C852)/1.05,B$2&lt;MAX('Base de datos'!C806:C852)*1.05),B$2=0),1,0)</f>
        <v>1</v>
      </c>
      <c r="C211" s="13">
        <f>IF(OR(AND(C$2&gt;MIN('Base de datos'!D806:D852)/1.05,C$2&lt;MAX('Base de datos'!D806:D852)*1.05),C$2=0),1,0)</f>
        <v>1</v>
      </c>
      <c r="D211" s="13">
        <f>IF(OR(AND(D$2&gt;MIN('Base de datos'!E806:E852)/1.05,D$2&lt;MAX('Base de datos'!E806:E852)*1.05),D$2=0),1,0)</f>
        <v>1</v>
      </c>
      <c r="E211" s="13">
        <f>IF(OR(AND(E$2&gt;MIN('Base de datos'!F806:F852)/1.05,E$2&lt;MAX('Base de datos'!F806:F852)*1.05),E$2=0),1,0)</f>
        <v>1</v>
      </c>
      <c r="F211" s="13">
        <f>IF(OR(AND(F$2&gt;MIN('Base de datos'!G806:G852)/1.05,F$2&lt;MAX('Base de datos'!G806:G852)*1.05),F$2=0),1,0)</f>
        <v>1</v>
      </c>
      <c r="G211" s="13">
        <f>IF(OR(AND(G$2&gt;MIN('Base de datos'!H806:H852)/1.05,G$2&lt;MAX('Base de datos'!H806:H852)*1.05),G$2=0),1,0)</f>
        <v>1</v>
      </c>
      <c r="H211" s="13">
        <f>IF(OR(AND(H$2&gt;MIN('Base de datos'!I806:I852)/1.05,H$2&lt;MAX('Base de datos'!I806:I852)*1.05),H$2=0),1,0)</f>
        <v>1</v>
      </c>
      <c r="I211" s="13">
        <f>IF(OR(AND(I$2&gt;MIN('Base de datos'!J806:J852)/1.05,I$2&lt;MAX('Base de datos'!J806:J852)*1.05),I$2=0),1,0)</f>
        <v>1</v>
      </c>
      <c r="J211" s="13">
        <f>IF(OR(AND(J$2&gt;MIN('Base de datos'!K806:K852)/1.05,J$2&lt;MAX('Base de datos'!K806:K852)*1.05),J$2=0),1,0)</f>
        <v>1</v>
      </c>
      <c r="K211" s="13">
        <f>IF(OR(AND(K$2&gt;MIN('Base de datos'!L806:L852)/1.05,K$2&lt;MAX('Base de datos'!L806:L852)*1.05),K$2=0),1,0)</f>
        <v>1</v>
      </c>
      <c r="L211" s="13">
        <f>IF(OR(AND(L$2&gt;MIN('Base de datos'!M806:M852)/1.05,L$2&lt;MAX('Base de datos'!M806:M852)*1.05),L$2=0),1,0)</f>
        <v>1</v>
      </c>
      <c r="N211" s="13">
        <f>PRODUCT(B211:L211)</f>
        <v>1</v>
      </c>
    </row>
    <row r="212" ht="14.2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 ht="14.25" customHeight="1">
      <c r="A213" s="7"/>
      <c r="J213" s="14"/>
      <c r="O213" s="13">
        <f>SUM(O10:O210)</f>
        <v>26</v>
      </c>
    </row>
    <row r="214" ht="14.25" customHeight="1">
      <c r="A214" s="8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</row>
    <row r="215" ht="14.25" customHeight="1">
      <c r="A215" s="10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</row>
    <row r="216" ht="14.25" customHeight="1">
      <c r="A216" s="10"/>
    </row>
    <row r="217" ht="14.25" customHeight="1">
      <c r="A217" s="10"/>
    </row>
    <row r="218" ht="14.25" customHeight="1">
      <c r="A218" s="10"/>
    </row>
    <row r="219" ht="14.25" customHeight="1">
      <c r="A219" s="10"/>
    </row>
    <row r="220" ht="14.2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 ht="14.25" customHeight="1">
      <c r="A221" s="7"/>
      <c r="J221" s="14"/>
    </row>
    <row r="222" ht="14.25" customHeight="1">
      <c r="A222" s="8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</row>
    <row r="223" ht="14.25" customHeight="1">
      <c r="A223" s="10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</row>
    <row r="224" ht="14.25" customHeight="1">
      <c r="A224" s="10"/>
    </row>
    <row r="225" ht="14.25" customHeight="1">
      <c r="A225" s="10"/>
    </row>
    <row r="226" ht="14.25" customHeight="1">
      <c r="A226" s="10"/>
    </row>
    <row r="227" ht="14.25" customHeight="1">
      <c r="A227" s="10"/>
    </row>
    <row r="228" ht="14.2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 ht="14.25" customHeight="1">
      <c r="A229" s="7"/>
      <c r="J229" s="14"/>
    </row>
    <row r="230" ht="14.25" customHeight="1">
      <c r="A230" s="8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</row>
    <row r="231" ht="14.25" customHeight="1">
      <c r="A231" s="10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</row>
    <row r="232" ht="14.25" customHeight="1">
      <c r="A232" s="10"/>
    </row>
    <row r="233" ht="14.25" customHeight="1">
      <c r="A233" s="10"/>
    </row>
    <row r="234" ht="14.25" customHeight="1">
      <c r="A234" s="10"/>
    </row>
    <row r="235" ht="14.25" customHeight="1">
      <c r="A235" s="10"/>
    </row>
    <row r="236" ht="14.2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ht="14.25" customHeight="1">
      <c r="A237" s="7"/>
      <c r="J237" s="14"/>
    </row>
    <row r="238" ht="14.25" customHeight="1">
      <c r="A238" s="8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</row>
    <row r="239" ht="14.25" customHeight="1">
      <c r="A239" s="10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</row>
    <row r="240" ht="14.25" customHeight="1">
      <c r="A240" s="10"/>
    </row>
    <row r="241" ht="14.25" customHeight="1">
      <c r="A241" s="10"/>
    </row>
    <row r="242" ht="14.25" customHeight="1">
      <c r="A242" s="10"/>
    </row>
    <row r="243" ht="14.25" customHeight="1">
      <c r="A243" s="10"/>
    </row>
    <row r="244" ht="14.2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 ht="14.25" customHeight="1">
      <c r="A245" s="7"/>
      <c r="J245" s="14"/>
    </row>
    <row r="246" ht="14.25" customHeight="1">
      <c r="A246" s="8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</row>
    <row r="247" ht="14.25" customHeight="1">
      <c r="A247" s="10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</row>
    <row r="248" ht="14.25" customHeight="1">
      <c r="A248" s="10"/>
    </row>
    <row r="249" ht="14.25" customHeight="1">
      <c r="A249" s="10"/>
    </row>
    <row r="250" ht="14.25" customHeight="1">
      <c r="A250" s="10"/>
    </row>
    <row r="251" ht="14.25" customHeight="1">
      <c r="A251" s="10"/>
    </row>
    <row r="252" ht="14.2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 ht="14.25" customHeight="1">
      <c r="A253" s="7"/>
      <c r="J253" s="14"/>
    </row>
    <row r="254" ht="14.25" customHeight="1">
      <c r="A254" s="8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</row>
    <row r="255" ht="14.25" customHeight="1">
      <c r="A255" s="10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</row>
    <row r="256" ht="14.25" customHeight="1">
      <c r="A256" s="10"/>
    </row>
    <row r="257" ht="14.25" customHeight="1">
      <c r="A257" s="10"/>
    </row>
    <row r="258" ht="14.25" customHeight="1">
      <c r="A258" s="10"/>
    </row>
    <row r="259" ht="14.25" customHeight="1">
      <c r="A259" s="10"/>
    </row>
    <row r="260" ht="14.2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 ht="14.25" customHeight="1">
      <c r="A261" s="7"/>
      <c r="J261" s="14"/>
    </row>
    <row r="262" ht="14.25" customHeight="1">
      <c r="A262" s="8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</row>
    <row r="263" ht="14.25" customHeight="1">
      <c r="A263" s="10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</row>
    <row r="264" ht="14.25" customHeight="1">
      <c r="A264" s="10"/>
    </row>
    <row r="265" ht="14.25" customHeight="1">
      <c r="A265" s="10"/>
    </row>
    <row r="266" ht="14.25" customHeight="1">
      <c r="A266" s="10"/>
    </row>
    <row r="267" ht="14.25" customHeight="1">
      <c r="A267" s="10"/>
    </row>
    <row r="268" ht="14.25" customHeight="1">
      <c r="A268" s="10"/>
    </row>
    <row r="269" ht="14.25" customHeight="1">
      <c r="J269" s="14"/>
    </row>
    <row r="270" ht="14.25" customHeight="1">
      <c r="J270" s="14"/>
    </row>
    <row r="271" ht="14.25" customHeight="1">
      <c r="J271" s="14"/>
    </row>
    <row r="272" ht="14.25" customHeight="1">
      <c r="J272" s="14"/>
    </row>
    <row r="273" ht="14.25" customHeight="1">
      <c r="J273" s="14"/>
    </row>
    <row r="274" ht="14.25" customHeight="1">
      <c r="J274" s="14"/>
    </row>
    <row r="275" ht="14.25" customHeight="1">
      <c r="J275" s="14"/>
    </row>
    <row r="276" ht="14.25" customHeight="1">
      <c r="J276" s="14"/>
    </row>
    <row r="277" ht="14.25" customHeight="1">
      <c r="J277" s="14"/>
    </row>
    <row r="278" ht="14.25" customHeight="1">
      <c r="J278" s="14"/>
    </row>
    <row r="279" ht="14.25" customHeight="1">
      <c r="J279" s="14"/>
    </row>
    <row r="280" ht="14.25" customHeight="1">
      <c r="J280" s="14"/>
    </row>
    <row r="281" ht="14.25" customHeight="1">
      <c r="J281" s="14"/>
    </row>
    <row r="282" ht="14.25" customHeight="1">
      <c r="J282" s="14"/>
    </row>
    <row r="283" ht="14.25" customHeight="1">
      <c r="J283" s="14"/>
    </row>
    <row r="284" ht="14.25" customHeight="1">
      <c r="J284" s="14"/>
    </row>
    <row r="285" ht="14.25" customHeight="1">
      <c r="J285" s="14"/>
    </row>
    <row r="286" ht="14.25" customHeight="1">
      <c r="J286" s="14"/>
    </row>
    <row r="287" ht="14.25" customHeight="1">
      <c r="J287" s="14"/>
    </row>
    <row r="288" ht="14.25" customHeight="1">
      <c r="J288" s="14"/>
    </row>
    <row r="289" ht="14.25" customHeight="1">
      <c r="J289" s="14"/>
    </row>
    <row r="290" ht="14.25" customHeight="1">
      <c r="J290" s="14"/>
    </row>
    <row r="291" ht="14.25" customHeight="1">
      <c r="J291" s="14"/>
    </row>
    <row r="292" ht="14.25" customHeight="1">
      <c r="J292" s="14"/>
    </row>
    <row r="293" ht="14.25" customHeight="1">
      <c r="J293" s="14"/>
    </row>
    <row r="294" ht="14.25" customHeight="1">
      <c r="J294" s="14"/>
    </row>
    <row r="295" ht="14.25" customHeight="1">
      <c r="J295" s="14"/>
    </row>
    <row r="296" ht="14.25" customHeight="1">
      <c r="J296" s="14"/>
    </row>
    <row r="297" ht="14.25" customHeight="1">
      <c r="J297" s="14"/>
    </row>
    <row r="298" ht="14.25" customHeight="1">
      <c r="J298" s="14"/>
    </row>
    <row r="299" ht="14.25" customHeight="1">
      <c r="J299" s="14"/>
    </row>
    <row r="300" ht="14.25" customHeight="1">
      <c r="J300" s="14"/>
    </row>
    <row r="301" ht="14.25" customHeight="1">
      <c r="J301" s="14"/>
    </row>
    <row r="302" ht="14.25" customHeight="1">
      <c r="J302" s="14"/>
    </row>
    <row r="303" ht="14.25" customHeight="1">
      <c r="J303" s="14"/>
    </row>
    <row r="304" ht="14.25" customHeight="1">
      <c r="J304" s="14"/>
    </row>
    <row r="305" ht="14.25" customHeight="1">
      <c r="J305" s="14"/>
    </row>
    <row r="306" ht="14.25" customHeight="1">
      <c r="J306" s="14"/>
    </row>
    <row r="307" ht="14.25" customHeight="1">
      <c r="J307" s="14"/>
    </row>
    <row r="308" ht="14.25" customHeight="1">
      <c r="J308" s="14"/>
    </row>
    <row r="309" ht="14.25" customHeight="1">
      <c r="J309" s="14"/>
    </row>
    <row r="310" ht="14.25" customHeight="1">
      <c r="J310" s="14"/>
    </row>
    <row r="311" ht="14.25" customHeight="1">
      <c r="J311" s="14"/>
    </row>
    <row r="312" ht="14.25" customHeight="1">
      <c r="J312" s="14"/>
    </row>
    <row r="313" ht="14.25" customHeight="1">
      <c r="J313" s="14"/>
    </row>
    <row r="314" ht="14.25" customHeight="1">
      <c r="J314" s="14"/>
    </row>
    <row r="315" ht="14.25" customHeight="1">
      <c r="J315" s="14"/>
    </row>
    <row r="316" ht="14.25" customHeight="1">
      <c r="J316" s="14"/>
    </row>
    <row r="317" ht="14.25" customHeight="1">
      <c r="J317" s="14"/>
    </row>
    <row r="318" ht="14.25" customHeight="1">
      <c r="J318" s="14"/>
    </row>
    <row r="319" ht="14.25" customHeight="1">
      <c r="J319" s="14"/>
    </row>
    <row r="320" ht="14.25" customHeight="1">
      <c r="J320" s="14"/>
    </row>
    <row r="321" ht="14.25" customHeight="1">
      <c r="J321" s="14"/>
    </row>
    <row r="322" ht="14.25" customHeight="1">
      <c r="J322" s="14"/>
    </row>
    <row r="323" ht="14.25" customHeight="1">
      <c r="J323" s="14"/>
    </row>
    <row r="324" ht="14.25" customHeight="1">
      <c r="J324" s="14"/>
    </row>
    <row r="325" ht="14.25" customHeight="1">
      <c r="J325" s="14"/>
    </row>
    <row r="326" ht="14.25" customHeight="1">
      <c r="J326" s="14"/>
    </row>
    <row r="327" ht="14.25" customHeight="1">
      <c r="J327" s="14"/>
    </row>
    <row r="328" ht="14.25" customHeight="1">
      <c r="J328" s="14"/>
    </row>
    <row r="329" ht="14.25" customHeight="1">
      <c r="J329" s="14"/>
    </row>
    <row r="330" ht="14.25" customHeight="1">
      <c r="J330" s="14"/>
    </row>
    <row r="331" ht="14.25" customHeight="1">
      <c r="J331" s="14"/>
    </row>
    <row r="332" ht="14.25" customHeight="1">
      <c r="J332" s="14"/>
    </row>
    <row r="333" ht="14.25" customHeight="1">
      <c r="J333" s="14"/>
    </row>
    <row r="334" ht="14.25" customHeight="1">
      <c r="J334" s="14"/>
    </row>
    <row r="335" ht="14.25" customHeight="1">
      <c r="J335" s="14"/>
    </row>
    <row r="336" ht="14.25" customHeight="1">
      <c r="J336" s="14"/>
    </row>
    <row r="337" ht="14.25" customHeight="1">
      <c r="J337" s="14"/>
    </row>
    <row r="338" ht="14.25" customHeight="1">
      <c r="J338" s="14"/>
    </row>
    <row r="339" ht="14.25" customHeight="1">
      <c r="J339" s="14"/>
    </row>
    <row r="340" ht="14.25" customHeight="1">
      <c r="J340" s="14"/>
    </row>
    <row r="341" ht="14.25" customHeight="1">
      <c r="J341" s="14"/>
    </row>
    <row r="342" ht="14.25" customHeight="1">
      <c r="J342" s="14"/>
    </row>
    <row r="343" ht="14.25" customHeight="1">
      <c r="J343" s="14"/>
    </row>
    <row r="344" ht="14.25" customHeight="1">
      <c r="J344" s="14"/>
    </row>
    <row r="345" ht="14.25" customHeight="1">
      <c r="J345" s="14"/>
    </row>
    <row r="346" ht="14.25" customHeight="1">
      <c r="J346" s="14"/>
    </row>
    <row r="347" ht="14.25" customHeight="1">
      <c r="J347" s="14"/>
    </row>
    <row r="348" ht="14.25" customHeight="1">
      <c r="J348" s="14"/>
    </row>
    <row r="349" ht="14.25" customHeight="1">
      <c r="J349" s="14"/>
    </row>
    <row r="350" ht="14.25" customHeight="1">
      <c r="J350" s="14"/>
    </row>
    <row r="351" ht="14.25" customHeight="1">
      <c r="J351" s="14"/>
    </row>
    <row r="352" ht="14.25" customHeight="1">
      <c r="J352" s="14"/>
    </row>
    <row r="353" ht="14.25" customHeight="1">
      <c r="J353" s="14"/>
    </row>
    <row r="354" ht="14.25" customHeight="1">
      <c r="J354" s="14"/>
    </row>
    <row r="355" ht="14.25" customHeight="1">
      <c r="J355" s="14"/>
    </row>
    <row r="356" ht="14.25" customHeight="1">
      <c r="J356" s="14"/>
    </row>
    <row r="357" ht="14.25" customHeight="1">
      <c r="J357" s="14"/>
    </row>
    <row r="358" ht="14.25" customHeight="1">
      <c r="J358" s="14"/>
    </row>
    <row r="359" ht="14.25" customHeight="1">
      <c r="J359" s="14"/>
    </row>
    <row r="360" ht="14.25" customHeight="1">
      <c r="J360" s="14"/>
    </row>
    <row r="361" ht="14.25" customHeight="1">
      <c r="J361" s="14"/>
    </row>
    <row r="362" ht="14.25" customHeight="1">
      <c r="J362" s="14"/>
    </row>
    <row r="363" ht="14.25" customHeight="1">
      <c r="J363" s="14"/>
    </row>
    <row r="364" ht="14.25" customHeight="1">
      <c r="J364" s="14"/>
    </row>
    <row r="365" ht="14.25" customHeight="1">
      <c r="J365" s="14"/>
    </row>
    <row r="366" ht="14.25" customHeight="1">
      <c r="J366" s="14"/>
    </row>
    <row r="367" ht="14.25" customHeight="1">
      <c r="J367" s="14"/>
    </row>
    <row r="368" ht="14.25" customHeight="1">
      <c r="J368" s="14"/>
    </row>
    <row r="369" ht="14.25" customHeight="1">
      <c r="J369" s="14"/>
    </row>
    <row r="370" ht="14.25" customHeight="1">
      <c r="J370" s="14"/>
    </row>
    <row r="371" ht="14.25" customHeight="1">
      <c r="J371" s="14"/>
    </row>
    <row r="372" ht="14.25" customHeight="1">
      <c r="J372" s="14"/>
    </row>
    <row r="373" ht="14.25" customHeight="1">
      <c r="J373" s="14"/>
    </row>
    <row r="374" ht="14.25" customHeight="1">
      <c r="J374" s="14"/>
    </row>
    <row r="375" ht="14.25" customHeight="1">
      <c r="J375" s="14"/>
    </row>
    <row r="376" ht="14.25" customHeight="1">
      <c r="J376" s="14"/>
    </row>
    <row r="377" ht="14.25" customHeight="1">
      <c r="J377" s="14"/>
    </row>
    <row r="378" ht="14.25" customHeight="1">
      <c r="J378" s="14"/>
    </row>
    <row r="379" ht="14.25" customHeight="1">
      <c r="J379" s="14"/>
    </row>
    <row r="380" ht="14.25" customHeight="1">
      <c r="J380" s="14"/>
    </row>
    <row r="381" ht="14.25" customHeight="1">
      <c r="J381" s="14"/>
    </row>
    <row r="382" ht="14.25" customHeight="1">
      <c r="J382" s="14"/>
    </row>
    <row r="383" ht="14.25" customHeight="1">
      <c r="J383" s="14"/>
    </row>
    <row r="384" ht="14.25" customHeight="1">
      <c r="J384" s="14"/>
    </row>
    <row r="385" ht="14.25" customHeight="1">
      <c r="J385" s="14"/>
    </row>
    <row r="386" ht="14.25" customHeight="1">
      <c r="J386" s="14"/>
    </row>
    <row r="387" ht="14.25" customHeight="1">
      <c r="J387" s="14"/>
    </row>
    <row r="388" ht="14.25" customHeight="1">
      <c r="J388" s="14"/>
    </row>
    <row r="389" ht="14.25" customHeight="1">
      <c r="J389" s="14"/>
    </row>
    <row r="390" ht="14.25" customHeight="1">
      <c r="J390" s="14"/>
    </row>
    <row r="391" ht="14.25" customHeight="1">
      <c r="J391" s="14"/>
    </row>
    <row r="392" ht="14.25" customHeight="1">
      <c r="J392" s="14"/>
    </row>
    <row r="393" ht="14.25" customHeight="1">
      <c r="J393" s="14"/>
    </row>
    <row r="394" ht="14.25" customHeight="1">
      <c r="J394" s="14"/>
    </row>
    <row r="395" ht="14.25" customHeight="1">
      <c r="J395" s="14"/>
    </row>
    <row r="396" ht="14.25" customHeight="1">
      <c r="J396" s="14"/>
    </row>
    <row r="397" ht="14.25" customHeight="1">
      <c r="J397" s="14"/>
    </row>
    <row r="398" ht="14.25" customHeight="1">
      <c r="J398" s="14"/>
    </row>
    <row r="399" ht="14.25" customHeight="1">
      <c r="J399" s="14"/>
    </row>
    <row r="400" ht="14.25" customHeight="1">
      <c r="J400" s="14"/>
    </row>
    <row r="401" ht="14.25" customHeight="1">
      <c r="J401" s="14"/>
    </row>
    <row r="402" ht="14.25" customHeight="1">
      <c r="J402" s="14"/>
    </row>
    <row r="403" ht="14.25" customHeight="1">
      <c r="J403" s="14"/>
    </row>
    <row r="404" ht="14.25" customHeight="1">
      <c r="J404" s="14"/>
    </row>
    <row r="405" ht="14.25" customHeight="1">
      <c r="J405" s="14"/>
    </row>
    <row r="406" ht="14.25" customHeight="1">
      <c r="J406" s="14"/>
    </row>
    <row r="407" ht="14.25" customHeight="1">
      <c r="J407" s="14"/>
    </row>
    <row r="408" ht="14.25" customHeight="1">
      <c r="J408" s="14"/>
    </row>
    <row r="409" ht="14.25" customHeight="1">
      <c r="J409" s="14"/>
    </row>
    <row r="410" ht="14.25" customHeight="1">
      <c r="J410" s="14"/>
    </row>
    <row r="411" ht="14.25" customHeight="1">
      <c r="J411" s="14"/>
    </row>
    <row r="412" ht="14.25" customHeight="1">
      <c r="J412" s="14"/>
    </row>
    <row r="413" ht="14.25" customHeight="1">
      <c r="J413" s="14"/>
    </row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14"/>
    <col customWidth="1" min="3" max="3" width="6.57"/>
    <col customWidth="1" min="4" max="4" width="6.86"/>
    <col customWidth="1" min="5" max="5" width="9.0"/>
    <col customWidth="1" min="6" max="6" width="6.43"/>
    <col customWidth="1" min="7" max="7" width="9.57"/>
    <col customWidth="1" min="8" max="8" width="14.43"/>
    <col customWidth="1" min="9" max="9" width="12.57"/>
    <col customWidth="1" min="10" max="10" width="14.43"/>
    <col customWidth="1" min="11" max="11" width="8.0"/>
    <col customWidth="1" min="12" max="13" width="6.57"/>
    <col customWidth="1" min="14" max="26" width="10.71"/>
  </cols>
  <sheetData>
    <row r="1" ht="14.25" customHeight="1">
      <c r="A1" s="7" t="s">
        <v>47</v>
      </c>
      <c r="B1" s="7" t="s">
        <v>48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49</v>
      </c>
      <c r="J1" s="7" t="s">
        <v>50</v>
      </c>
      <c r="K1" s="7" t="s">
        <v>8</v>
      </c>
      <c r="L1" s="7" t="s">
        <v>9</v>
      </c>
      <c r="M1" s="7" t="s">
        <v>10</v>
      </c>
    </row>
    <row r="2" ht="14.25" customHeight="1">
      <c r="A2" s="15">
        <v>484.0</v>
      </c>
      <c r="B2" s="13" t="s">
        <v>51</v>
      </c>
      <c r="C2" s="9">
        <v>55.9</v>
      </c>
      <c r="D2" s="14">
        <v>32.1</v>
      </c>
      <c r="E2" s="14">
        <v>63.5</v>
      </c>
      <c r="F2" s="14">
        <v>54.1</v>
      </c>
      <c r="G2" s="14">
        <v>83.9</v>
      </c>
      <c r="H2" s="14">
        <v>51.1</v>
      </c>
      <c r="I2" s="14">
        <v>37.9</v>
      </c>
      <c r="J2" s="9">
        <v>73.6</v>
      </c>
      <c r="K2" s="14">
        <v>106.3</v>
      </c>
      <c r="L2" s="14">
        <v>115.2</v>
      </c>
      <c r="M2" s="14">
        <v>110.4</v>
      </c>
    </row>
    <row r="3" ht="14.25" customHeight="1">
      <c r="A3" s="15">
        <v>485.0</v>
      </c>
      <c r="B3" s="13" t="s">
        <v>51</v>
      </c>
      <c r="C3" s="9">
        <v>57.4</v>
      </c>
      <c r="D3" s="14">
        <v>36.4</v>
      </c>
      <c r="E3" s="14">
        <v>69.0</v>
      </c>
      <c r="F3" s="14">
        <v>60.0</v>
      </c>
      <c r="G3" s="14">
        <v>91.8</v>
      </c>
      <c r="H3" s="14">
        <v>55.2</v>
      </c>
      <c r="I3" s="14">
        <v>40.1</v>
      </c>
      <c r="J3" s="9">
        <v>76.5</v>
      </c>
      <c r="K3" s="14">
        <v>110.3</v>
      </c>
      <c r="L3" s="14">
        <v>124.3</v>
      </c>
      <c r="M3" s="14">
        <v>117.1</v>
      </c>
    </row>
    <row r="4" ht="14.25" customHeight="1">
      <c r="A4" s="15">
        <v>486.0</v>
      </c>
      <c r="B4" s="13" t="s">
        <v>51</v>
      </c>
      <c r="C4" s="9">
        <v>58.1</v>
      </c>
      <c r="D4" s="14">
        <v>33.2</v>
      </c>
      <c r="E4" s="14">
        <v>65.7</v>
      </c>
      <c r="F4" s="14">
        <v>57.5</v>
      </c>
      <c r="G4" s="14">
        <v>88.4</v>
      </c>
      <c r="H4" s="14">
        <v>53.9</v>
      </c>
      <c r="I4" s="14">
        <v>38.7</v>
      </c>
      <c r="J4" s="9">
        <v>74.0</v>
      </c>
      <c r="K4" s="14">
        <v>107.3</v>
      </c>
      <c r="L4" s="14">
        <v>118.4</v>
      </c>
      <c r="M4" s="14">
        <v>112.1</v>
      </c>
    </row>
    <row r="5" ht="14.25" customHeight="1">
      <c r="A5" s="15">
        <v>487.0</v>
      </c>
      <c r="B5" s="13" t="s">
        <v>51</v>
      </c>
      <c r="C5" s="9">
        <v>60.1</v>
      </c>
      <c r="D5" s="14">
        <v>35.1</v>
      </c>
      <c r="E5" s="14">
        <v>65.6</v>
      </c>
      <c r="F5" s="14">
        <v>55.5</v>
      </c>
      <c r="G5" s="14">
        <v>86.5</v>
      </c>
      <c r="H5" s="14">
        <v>52.7</v>
      </c>
      <c r="I5" s="14">
        <v>39.7</v>
      </c>
      <c r="J5" s="9">
        <v>75.0</v>
      </c>
      <c r="K5" s="14">
        <v>103.4</v>
      </c>
      <c r="L5" s="14">
        <v>115.91917584942858</v>
      </c>
      <c r="M5" s="14">
        <v>108.58282171323765</v>
      </c>
    </row>
    <row r="6" ht="14.25" customHeight="1">
      <c r="A6" s="15">
        <v>488.0</v>
      </c>
      <c r="B6" s="13" t="s">
        <v>51</v>
      </c>
      <c r="C6" s="9">
        <v>56.7</v>
      </c>
      <c r="D6" s="14">
        <v>32.2</v>
      </c>
      <c r="E6" s="14">
        <v>58.7</v>
      </c>
      <c r="F6" s="14">
        <v>55.1</v>
      </c>
      <c r="G6" s="14">
        <v>85.9</v>
      </c>
      <c r="H6" s="14">
        <v>53.0</v>
      </c>
      <c r="I6" s="14">
        <v>35.3</v>
      </c>
      <c r="J6" s="9">
        <v>70.60434132593788</v>
      </c>
      <c r="K6" s="14">
        <v>104.3</v>
      </c>
      <c r="L6" s="14">
        <v>111.2</v>
      </c>
      <c r="M6" s="14">
        <v>108.9</v>
      </c>
    </row>
    <row r="7" ht="14.25" customHeight="1">
      <c r="A7" s="15">
        <v>489.0</v>
      </c>
      <c r="B7" s="13" t="s">
        <v>51</v>
      </c>
      <c r="C7" s="9">
        <v>51.9</v>
      </c>
      <c r="D7" s="14">
        <v>33.0</v>
      </c>
      <c r="E7" s="14">
        <v>67.9</v>
      </c>
      <c r="F7" s="14">
        <v>57.0</v>
      </c>
      <c r="G7" s="14">
        <v>89.3</v>
      </c>
      <c r="H7" s="14">
        <v>55.2092327349863</v>
      </c>
      <c r="I7" s="14">
        <v>39.8</v>
      </c>
      <c r="J7" s="9">
        <v>80.0</v>
      </c>
      <c r="K7" s="14">
        <v>107.3</v>
      </c>
      <c r="L7" s="14">
        <v>121.8</v>
      </c>
      <c r="M7" s="14">
        <v>117.8</v>
      </c>
    </row>
    <row r="8" ht="14.25" customHeight="1">
      <c r="A8" s="15">
        <v>490.0</v>
      </c>
      <c r="B8" s="13" t="s">
        <v>51</v>
      </c>
      <c r="C8" s="9">
        <v>61.3</v>
      </c>
      <c r="D8" s="14">
        <v>31.0</v>
      </c>
      <c r="E8" s="14">
        <v>65.9</v>
      </c>
      <c r="F8" s="14">
        <v>57.4</v>
      </c>
      <c r="G8" s="14">
        <v>87.2</v>
      </c>
      <c r="H8" s="14">
        <v>51.4</v>
      </c>
      <c r="I8" s="14">
        <v>39.4</v>
      </c>
      <c r="J8" s="9">
        <v>77.84854458368389</v>
      </c>
      <c r="K8" s="14">
        <v>108.0</v>
      </c>
      <c r="L8" s="14">
        <v>120.7</v>
      </c>
      <c r="M8" s="14">
        <v>115.9</v>
      </c>
    </row>
    <row r="9" ht="14.25" customHeight="1">
      <c r="A9" s="15">
        <v>491.0</v>
      </c>
      <c r="B9" s="13" t="s">
        <v>51</v>
      </c>
      <c r="C9" s="9">
        <v>59.9</v>
      </c>
      <c r="D9" s="14">
        <v>34.5</v>
      </c>
      <c r="E9" s="14">
        <v>63.1</v>
      </c>
      <c r="F9" s="14">
        <v>54.6</v>
      </c>
      <c r="G9" s="14">
        <v>85.9</v>
      </c>
      <c r="H9" s="14">
        <v>54.2</v>
      </c>
      <c r="I9" s="14">
        <v>40.6</v>
      </c>
      <c r="J9" s="9">
        <v>75.5</v>
      </c>
      <c r="K9" s="14">
        <v>102.3</v>
      </c>
      <c r="L9" s="14">
        <v>115.2</v>
      </c>
      <c r="M9" s="14">
        <v>108.2</v>
      </c>
    </row>
    <row r="10" ht="14.25" customHeight="1">
      <c r="A10" s="15">
        <v>492.0</v>
      </c>
      <c r="B10" s="13" t="s">
        <v>51</v>
      </c>
      <c r="C10" s="9">
        <v>59.3</v>
      </c>
      <c r="D10" s="14">
        <v>33.0</v>
      </c>
      <c r="E10" s="14">
        <v>61.3</v>
      </c>
      <c r="F10" s="14">
        <v>53.9</v>
      </c>
      <c r="G10" s="14">
        <v>83.0</v>
      </c>
      <c r="H10" s="14">
        <v>49.7</v>
      </c>
      <c r="I10" s="14">
        <v>38.0</v>
      </c>
      <c r="J10" s="9">
        <v>70.76493695642493</v>
      </c>
      <c r="K10" s="14">
        <v>104.2</v>
      </c>
      <c r="L10" s="14">
        <v>113.8</v>
      </c>
      <c r="M10" s="14">
        <v>106.0</v>
      </c>
    </row>
    <row r="11" ht="14.25" customHeight="1">
      <c r="A11" s="15">
        <v>493.0</v>
      </c>
      <c r="B11" s="13" t="s">
        <v>51</v>
      </c>
      <c r="C11" s="9">
        <v>61.2</v>
      </c>
      <c r="D11" s="14">
        <v>33.9</v>
      </c>
      <c r="E11" s="14">
        <v>68.1</v>
      </c>
      <c r="F11" s="14">
        <v>62.5</v>
      </c>
      <c r="G11" s="14">
        <v>92.3</v>
      </c>
      <c r="H11" s="14">
        <v>56.1</v>
      </c>
      <c r="I11" s="14">
        <v>38.9</v>
      </c>
      <c r="J11" s="9">
        <v>76.4</v>
      </c>
      <c r="K11" s="14">
        <v>115.0</v>
      </c>
      <c r="L11" s="14">
        <v>126.2</v>
      </c>
      <c r="M11" s="14">
        <v>119.1</v>
      </c>
    </row>
    <row r="12" ht="14.25" customHeight="1">
      <c r="A12" s="15">
        <v>494.0</v>
      </c>
      <c r="B12" s="13" t="s">
        <v>51</v>
      </c>
      <c r="C12" s="9">
        <v>57.4</v>
      </c>
      <c r="D12" s="14">
        <v>33.7</v>
      </c>
      <c r="E12" s="14">
        <v>63.7</v>
      </c>
      <c r="F12" s="14">
        <v>57.3</v>
      </c>
      <c r="G12" s="14">
        <v>87.1</v>
      </c>
      <c r="H12" s="14">
        <v>53.8</v>
      </c>
      <c r="I12" s="14">
        <v>38.8</v>
      </c>
      <c r="J12" s="9">
        <v>74.2</v>
      </c>
      <c r="K12" s="14">
        <v>105.24431335878666</v>
      </c>
      <c r="L12" s="14">
        <v>115.0</v>
      </c>
      <c r="M12" s="14">
        <v>108.6</v>
      </c>
    </row>
    <row r="13" ht="14.25" customHeight="1">
      <c r="A13" s="15">
        <v>495.0</v>
      </c>
      <c r="B13" s="13" t="s">
        <v>51</v>
      </c>
      <c r="C13" s="9">
        <v>56.8</v>
      </c>
      <c r="D13" s="14">
        <v>31.8</v>
      </c>
      <c r="E13" s="14">
        <v>60.0</v>
      </c>
      <c r="F13" s="14">
        <v>56.5</v>
      </c>
      <c r="G13" s="14">
        <v>87.9</v>
      </c>
      <c r="H13" s="14">
        <v>49.7</v>
      </c>
      <c r="I13" s="14">
        <v>37.2</v>
      </c>
      <c r="J13" s="9">
        <v>71.7</v>
      </c>
      <c r="K13" s="14">
        <v>108.3</v>
      </c>
      <c r="L13" s="14">
        <v>120.9</v>
      </c>
      <c r="M13" s="14">
        <v>114.7</v>
      </c>
    </row>
    <row r="14" ht="14.25" customHeight="1">
      <c r="A14" s="15">
        <v>496.0</v>
      </c>
      <c r="B14" s="13" t="s">
        <v>51</v>
      </c>
      <c r="C14" s="9">
        <v>59.2</v>
      </c>
      <c r="D14" s="14">
        <v>36.3</v>
      </c>
      <c r="E14" s="14">
        <v>64.1</v>
      </c>
      <c r="F14" s="14">
        <v>59.3</v>
      </c>
      <c r="G14" s="14">
        <v>91.7</v>
      </c>
      <c r="H14" s="14">
        <v>54.2</v>
      </c>
      <c r="I14" s="14">
        <v>39.6</v>
      </c>
      <c r="J14" s="9">
        <v>74.0</v>
      </c>
      <c r="K14" s="14">
        <v>114.2</v>
      </c>
      <c r="L14" s="14">
        <v>127.9</v>
      </c>
      <c r="M14" s="14">
        <v>121.2</v>
      </c>
    </row>
    <row r="15" ht="14.25" customHeight="1">
      <c r="A15" s="15">
        <v>497.0</v>
      </c>
      <c r="B15" s="13" t="s">
        <v>51</v>
      </c>
      <c r="C15" s="9">
        <v>54.0</v>
      </c>
      <c r="D15" s="14">
        <v>30.7</v>
      </c>
      <c r="E15" s="14">
        <v>64.1</v>
      </c>
      <c r="F15" s="14">
        <v>58.3</v>
      </c>
      <c r="G15" s="14">
        <v>91.3</v>
      </c>
      <c r="H15" s="14">
        <v>53.9</v>
      </c>
      <c r="I15" s="14">
        <v>38.2</v>
      </c>
      <c r="J15" s="9">
        <v>78.8</v>
      </c>
      <c r="K15" s="14">
        <v>111.7</v>
      </c>
      <c r="L15" s="14">
        <v>121.8</v>
      </c>
      <c r="M15" s="14">
        <v>119.50342439555976</v>
      </c>
    </row>
    <row r="16" ht="14.25" customHeight="1">
      <c r="A16" s="15">
        <v>498.0</v>
      </c>
      <c r="B16" s="13" t="s">
        <v>51</v>
      </c>
      <c r="C16" s="9">
        <v>57.0</v>
      </c>
      <c r="D16" s="14">
        <v>31.1</v>
      </c>
      <c r="E16" s="14">
        <v>63.8</v>
      </c>
      <c r="F16" s="14">
        <v>56.5</v>
      </c>
      <c r="G16" s="14">
        <v>88.5</v>
      </c>
      <c r="H16" s="14">
        <v>53.2</v>
      </c>
      <c r="I16" s="14">
        <v>40.0</v>
      </c>
      <c r="J16" s="9">
        <v>77.99039270860497</v>
      </c>
      <c r="K16" s="14">
        <v>109.9</v>
      </c>
      <c r="L16" s="14">
        <v>121.1</v>
      </c>
      <c r="M16" s="14">
        <v>117.5</v>
      </c>
    </row>
    <row r="17" ht="14.25" customHeight="1">
      <c r="A17" s="15">
        <v>499.0</v>
      </c>
      <c r="B17" s="13" t="s">
        <v>51</v>
      </c>
      <c r="C17" s="9">
        <v>58.8</v>
      </c>
      <c r="D17" s="14">
        <v>32.0</v>
      </c>
      <c r="E17" s="14">
        <v>66.5</v>
      </c>
      <c r="F17" s="14">
        <v>52.9</v>
      </c>
      <c r="G17" s="14">
        <v>83.57604124154702</v>
      </c>
      <c r="H17" s="14">
        <v>50.0</v>
      </c>
      <c r="I17" s="14">
        <v>38.4</v>
      </c>
      <c r="J17" s="9">
        <v>73.5</v>
      </c>
      <c r="K17" s="14">
        <v>104.9</v>
      </c>
      <c r="L17" s="14">
        <v>117.7</v>
      </c>
      <c r="M17" s="14">
        <v>110.7</v>
      </c>
    </row>
    <row r="18" ht="14.25" customHeight="1">
      <c r="A18" s="15">
        <v>500.0</v>
      </c>
      <c r="B18" s="13" t="s">
        <v>51</v>
      </c>
      <c r="C18" s="9">
        <v>59.3</v>
      </c>
      <c r="D18" s="14">
        <v>36.4</v>
      </c>
      <c r="E18" s="14">
        <v>66.0</v>
      </c>
      <c r="F18" s="14">
        <v>57.5</v>
      </c>
      <c r="G18" s="14">
        <v>91.4</v>
      </c>
      <c r="H18" s="14">
        <v>56.1</v>
      </c>
      <c r="I18" s="14">
        <v>39.1</v>
      </c>
      <c r="J18" s="9">
        <v>74.1</v>
      </c>
      <c r="K18" s="14">
        <v>110.1</v>
      </c>
      <c r="L18" s="14">
        <v>120.4</v>
      </c>
      <c r="M18" s="14">
        <v>113.9</v>
      </c>
    </row>
    <row r="19" ht="14.25" customHeight="1">
      <c r="A19" s="15">
        <v>501.0</v>
      </c>
      <c r="B19" s="13" t="s">
        <v>51</v>
      </c>
      <c r="C19" s="9">
        <v>57.3</v>
      </c>
      <c r="D19" s="14">
        <v>33.1</v>
      </c>
      <c r="E19" s="14">
        <v>66.1</v>
      </c>
      <c r="F19" s="14">
        <v>58.8</v>
      </c>
      <c r="G19" s="14">
        <v>89.9</v>
      </c>
      <c r="H19" s="14">
        <v>53.6</v>
      </c>
      <c r="I19" s="14">
        <v>39.2</v>
      </c>
      <c r="J19" s="9">
        <v>77.0</v>
      </c>
      <c r="K19" s="14">
        <v>111.0</v>
      </c>
      <c r="L19" s="14">
        <v>122.5</v>
      </c>
      <c r="M19" s="14">
        <v>114.4</v>
      </c>
    </row>
    <row r="20" ht="14.25" customHeight="1">
      <c r="A20" s="15">
        <v>502.0</v>
      </c>
      <c r="B20" s="13" t="s">
        <v>51</v>
      </c>
      <c r="C20" s="9">
        <v>53.7</v>
      </c>
      <c r="D20" s="14">
        <v>33.5</v>
      </c>
      <c r="E20" s="14">
        <v>64.0903042414447</v>
      </c>
      <c r="F20" s="14">
        <v>54.8</v>
      </c>
      <c r="G20" s="14">
        <v>83.9</v>
      </c>
      <c r="H20" s="14">
        <v>54.3</v>
      </c>
      <c r="I20" s="14">
        <v>37.6</v>
      </c>
      <c r="J20" s="9">
        <v>73.2</v>
      </c>
      <c r="K20" s="14">
        <v>103.6</v>
      </c>
      <c r="L20" s="14">
        <v>113.9</v>
      </c>
      <c r="M20" s="14">
        <v>107.0</v>
      </c>
    </row>
    <row r="21" ht="14.25" customHeight="1">
      <c r="A21" s="15">
        <v>503.0</v>
      </c>
      <c r="B21" s="13" t="s">
        <v>51</v>
      </c>
      <c r="C21" s="9">
        <v>57.9</v>
      </c>
      <c r="D21" s="14">
        <v>36.5</v>
      </c>
      <c r="E21" s="14">
        <v>61.6</v>
      </c>
      <c r="F21" s="14">
        <v>57.9</v>
      </c>
      <c r="G21" s="14">
        <v>87.8</v>
      </c>
      <c r="H21" s="14">
        <v>50.4</v>
      </c>
      <c r="I21" s="14">
        <v>36.0</v>
      </c>
      <c r="J21" s="9">
        <v>69.12778116896362</v>
      </c>
      <c r="K21" s="14">
        <v>110.4</v>
      </c>
      <c r="L21" s="14">
        <v>121.0</v>
      </c>
      <c r="M21" s="14">
        <v>114.2</v>
      </c>
    </row>
    <row r="22" ht="14.25" customHeight="1">
      <c r="A22" s="15">
        <v>504.0</v>
      </c>
      <c r="B22" s="13" t="s">
        <v>51</v>
      </c>
      <c r="C22" s="9">
        <v>58.4</v>
      </c>
      <c r="D22" s="14">
        <v>32.9</v>
      </c>
      <c r="E22" s="14">
        <v>61.9</v>
      </c>
      <c r="F22" s="14">
        <v>56.0</v>
      </c>
      <c r="G22" s="14">
        <v>83.9</v>
      </c>
      <c r="H22" s="14">
        <v>51.9</v>
      </c>
      <c r="I22" s="14">
        <v>40.0</v>
      </c>
      <c r="J22" s="9">
        <v>76.1</v>
      </c>
      <c r="K22" s="14">
        <v>104.9</v>
      </c>
      <c r="L22" s="14">
        <v>115.4</v>
      </c>
      <c r="M22" s="14">
        <v>108.6</v>
      </c>
    </row>
    <row r="23" ht="14.25" customHeight="1">
      <c r="A23" s="15">
        <v>505.0</v>
      </c>
      <c r="B23" s="13" t="s">
        <v>51</v>
      </c>
      <c r="C23" s="9">
        <v>55.5</v>
      </c>
      <c r="D23" s="14">
        <v>32.4</v>
      </c>
      <c r="E23" s="14">
        <v>64.1</v>
      </c>
      <c r="F23" s="14">
        <v>57.7</v>
      </c>
      <c r="G23" s="14">
        <v>87.5</v>
      </c>
      <c r="H23" s="14">
        <v>54.3</v>
      </c>
      <c r="I23" s="14">
        <v>38.8</v>
      </c>
      <c r="J23" s="9">
        <v>74.21399661686097</v>
      </c>
      <c r="K23" s="14">
        <v>108.70323757609954</v>
      </c>
      <c r="L23" s="14">
        <v>120.1</v>
      </c>
      <c r="M23" s="14">
        <v>112.2</v>
      </c>
    </row>
    <row r="24" ht="14.25" customHeight="1">
      <c r="A24" s="15">
        <v>506.0</v>
      </c>
      <c r="B24" s="13" t="s">
        <v>51</v>
      </c>
      <c r="C24" s="9">
        <v>60.4</v>
      </c>
      <c r="D24" s="14">
        <v>33.7</v>
      </c>
      <c r="E24" s="14">
        <v>65.9</v>
      </c>
      <c r="F24" s="14">
        <v>58.5</v>
      </c>
      <c r="G24" s="14">
        <v>87.8</v>
      </c>
      <c r="H24" s="14">
        <v>51.4</v>
      </c>
      <c r="I24" s="14">
        <v>38.8</v>
      </c>
      <c r="J24" s="9">
        <v>74.8</v>
      </c>
      <c r="K24" s="14">
        <v>109.2</v>
      </c>
      <c r="L24" s="14">
        <v>119.1</v>
      </c>
      <c r="M24" s="14">
        <v>111.2</v>
      </c>
    </row>
    <row r="25" ht="14.25" customHeight="1">
      <c r="A25" s="15">
        <v>507.0</v>
      </c>
      <c r="B25" s="13" t="s">
        <v>51</v>
      </c>
      <c r="C25" s="9">
        <v>55.4</v>
      </c>
      <c r="D25" s="14">
        <v>33.3</v>
      </c>
      <c r="E25" s="14">
        <v>61.4</v>
      </c>
      <c r="F25" s="14">
        <v>54.1</v>
      </c>
      <c r="G25" s="14">
        <v>85.2</v>
      </c>
      <c r="H25" s="14">
        <v>51.0</v>
      </c>
      <c r="I25" s="14">
        <v>37.86781984760203</v>
      </c>
      <c r="J25" s="9">
        <v>72.5</v>
      </c>
      <c r="K25" s="14">
        <v>100.6</v>
      </c>
      <c r="L25" s="14">
        <v>111.4</v>
      </c>
      <c r="M25" s="14">
        <v>105.1</v>
      </c>
    </row>
    <row r="26" ht="14.25" customHeight="1">
      <c r="A26" s="15">
        <v>508.0</v>
      </c>
      <c r="B26" s="13" t="s">
        <v>51</v>
      </c>
      <c r="C26" s="9">
        <v>50.1</v>
      </c>
      <c r="D26" s="14">
        <v>26.8</v>
      </c>
      <c r="E26" s="14">
        <v>56.012040605721204</v>
      </c>
      <c r="F26" s="14">
        <v>52.3</v>
      </c>
      <c r="G26" s="14">
        <v>79.0</v>
      </c>
      <c r="H26" s="14">
        <v>47.2</v>
      </c>
      <c r="I26" s="14">
        <v>36.13468016355686</v>
      </c>
      <c r="J26" s="9">
        <v>70.6195973922181</v>
      </c>
      <c r="K26" s="14">
        <v>96.6</v>
      </c>
      <c r="L26" s="14">
        <v>104.7</v>
      </c>
      <c r="M26" s="14">
        <v>99.0</v>
      </c>
    </row>
    <row r="27" ht="14.25" customHeight="1">
      <c r="A27" s="15">
        <v>509.0</v>
      </c>
      <c r="B27" s="13" t="s">
        <v>51</v>
      </c>
      <c r="C27" s="9">
        <v>53.6</v>
      </c>
      <c r="D27" s="14">
        <v>30.0</v>
      </c>
      <c r="E27" s="14">
        <v>57.77289161787749</v>
      </c>
      <c r="F27" s="14">
        <v>55.2</v>
      </c>
      <c r="G27" s="14">
        <v>84.1</v>
      </c>
      <c r="H27" s="14">
        <v>51.6</v>
      </c>
      <c r="I27" s="14">
        <v>38.7</v>
      </c>
      <c r="J27" s="9">
        <v>70.6</v>
      </c>
      <c r="K27" s="14">
        <v>104.3</v>
      </c>
      <c r="L27" s="14">
        <v>113.2</v>
      </c>
      <c r="M27" s="14">
        <v>107.0</v>
      </c>
    </row>
    <row r="28" ht="14.25" customHeight="1">
      <c r="A28" s="15">
        <v>510.0</v>
      </c>
      <c r="B28" s="13" t="s">
        <v>51</v>
      </c>
      <c r="C28" s="9">
        <v>54.3</v>
      </c>
      <c r="D28" s="14">
        <v>31.5</v>
      </c>
      <c r="E28" s="14">
        <v>61.66915367078346</v>
      </c>
      <c r="F28" s="14">
        <v>53.8</v>
      </c>
      <c r="G28" s="14">
        <v>83.77399603726442</v>
      </c>
      <c r="H28" s="14">
        <v>48.79499757432291</v>
      </c>
      <c r="I28" s="14">
        <v>36.2</v>
      </c>
      <c r="J28" s="9">
        <v>71.0</v>
      </c>
      <c r="K28" s="14">
        <v>105.1</v>
      </c>
      <c r="L28" s="14">
        <v>116.8</v>
      </c>
      <c r="M28" s="14">
        <v>110.1</v>
      </c>
    </row>
    <row r="29" ht="14.25" customHeight="1">
      <c r="A29" s="15">
        <v>667.0</v>
      </c>
      <c r="B29" s="13" t="s">
        <v>16</v>
      </c>
      <c r="C29" s="9">
        <v>30.20844759522688</v>
      </c>
      <c r="D29" s="14">
        <v>26.18972824946677</v>
      </c>
      <c r="E29" s="14">
        <v>46.2</v>
      </c>
      <c r="F29" s="14">
        <v>43.6</v>
      </c>
      <c r="G29" s="14">
        <v>56.95258562081651</v>
      </c>
      <c r="H29" s="14">
        <v>35.299361008583446</v>
      </c>
      <c r="I29" s="14">
        <v>29.14702665310157</v>
      </c>
      <c r="J29" s="9">
        <v>47.459512045624855</v>
      </c>
      <c r="K29" s="14">
        <v>54.3</v>
      </c>
      <c r="L29" s="14">
        <v>62.71104199993058</v>
      </c>
      <c r="M29" s="14">
        <v>58.02958039966256</v>
      </c>
    </row>
    <row r="30" ht="14.25" customHeight="1">
      <c r="A30" s="15">
        <v>668.0</v>
      </c>
      <c r="B30" s="13" t="s">
        <v>16</v>
      </c>
      <c r="C30" s="9">
        <v>28.8</v>
      </c>
      <c r="D30" s="14">
        <v>26.2</v>
      </c>
      <c r="E30" s="14">
        <v>44.3</v>
      </c>
      <c r="F30" s="14">
        <v>42.3</v>
      </c>
      <c r="G30" s="14">
        <v>56.371652928609116</v>
      </c>
      <c r="H30" s="14">
        <v>34.11256332707966</v>
      </c>
      <c r="I30" s="14">
        <v>29.083342072548295</v>
      </c>
      <c r="J30" s="9">
        <v>47.973784268430656</v>
      </c>
      <c r="K30" s="14">
        <v>52.99358881786892</v>
      </c>
      <c r="L30" s="14">
        <v>60.50478783719859</v>
      </c>
      <c r="M30" s="14">
        <v>56.35582886291846</v>
      </c>
    </row>
    <row r="31" ht="14.25" customHeight="1">
      <c r="A31" s="15">
        <v>669.0</v>
      </c>
      <c r="B31" s="13" t="s">
        <v>16</v>
      </c>
      <c r="C31" s="9">
        <v>35.6</v>
      </c>
      <c r="D31" s="14">
        <v>26.5</v>
      </c>
      <c r="E31" s="14">
        <v>44.3</v>
      </c>
      <c r="F31" s="14">
        <v>43.6</v>
      </c>
      <c r="G31" s="14">
        <v>57.034233035432294</v>
      </c>
      <c r="H31" s="14">
        <v>35.523645149404615</v>
      </c>
      <c r="I31" s="14">
        <v>29.5040051564162</v>
      </c>
      <c r="J31" s="9">
        <v>50.325287807012266</v>
      </c>
      <c r="K31" s="14">
        <v>56.89211236754997</v>
      </c>
      <c r="L31" s="14">
        <v>64.00435810133794</v>
      </c>
      <c r="M31" s="14">
        <v>59.584254842211756</v>
      </c>
    </row>
    <row r="32" ht="14.25" customHeight="1">
      <c r="A32" s="15">
        <v>670.0</v>
      </c>
      <c r="B32" s="13" t="s">
        <v>16</v>
      </c>
      <c r="C32" s="9">
        <v>29.8</v>
      </c>
      <c r="D32" s="14">
        <v>24.7</v>
      </c>
      <c r="E32" s="14">
        <v>45.8</v>
      </c>
      <c r="F32" s="14">
        <v>44.1</v>
      </c>
      <c r="G32" s="14">
        <v>56.69517133250896</v>
      </c>
      <c r="H32" s="14">
        <v>34.92109577492397</v>
      </c>
      <c r="I32" s="14">
        <v>28.47521934705351</v>
      </c>
      <c r="J32" s="9">
        <v>45.76593111295027</v>
      </c>
      <c r="K32" s="14">
        <v>56.032999845768884</v>
      </c>
      <c r="L32" s="14">
        <v>65.17829293036216</v>
      </c>
      <c r="M32" s="14">
        <v>59.75647761235095</v>
      </c>
    </row>
    <row r="33" ht="14.25" customHeight="1">
      <c r="A33" s="15">
        <v>671.0</v>
      </c>
      <c r="B33" s="13" t="s">
        <v>16</v>
      </c>
      <c r="C33" s="9">
        <v>31.6</v>
      </c>
      <c r="D33" s="14">
        <v>25.162527991825176</v>
      </c>
      <c r="E33" s="14">
        <v>42.5</v>
      </c>
      <c r="F33" s="14">
        <v>44.2</v>
      </c>
      <c r="G33" s="14">
        <v>57.5</v>
      </c>
      <c r="H33" s="14">
        <v>34.2</v>
      </c>
      <c r="I33" s="14">
        <v>29.2</v>
      </c>
      <c r="J33" s="9">
        <v>48.9</v>
      </c>
      <c r="K33" s="14">
        <v>56.7</v>
      </c>
      <c r="L33" s="14">
        <v>63.7</v>
      </c>
      <c r="M33" s="14">
        <v>59.2</v>
      </c>
    </row>
    <row r="34" ht="14.25" customHeight="1">
      <c r="A34" s="15">
        <v>672.0</v>
      </c>
      <c r="B34" s="13" t="s">
        <v>16</v>
      </c>
      <c r="C34" s="9">
        <v>35.2</v>
      </c>
      <c r="D34" s="14">
        <v>30.4</v>
      </c>
      <c r="E34" s="14">
        <v>51.7</v>
      </c>
      <c r="F34" s="14">
        <v>48.6</v>
      </c>
      <c r="G34" s="14">
        <v>63.5</v>
      </c>
      <c r="H34" s="14">
        <v>36.1</v>
      </c>
      <c r="I34" s="14">
        <v>32.1</v>
      </c>
      <c r="J34" s="9">
        <v>54.0</v>
      </c>
      <c r="K34" s="14">
        <v>68.3</v>
      </c>
      <c r="L34" s="14">
        <v>79.6</v>
      </c>
      <c r="M34" s="14">
        <v>73.7</v>
      </c>
    </row>
    <row r="35" ht="14.25" customHeight="1">
      <c r="A35" s="15">
        <v>673.0</v>
      </c>
      <c r="B35" s="13" t="s">
        <v>16</v>
      </c>
      <c r="C35" s="9">
        <v>33.4</v>
      </c>
      <c r="D35" s="14">
        <v>25.1</v>
      </c>
      <c r="E35" s="14">
        <v>44.2</v>
      </c>
      <c r="F35" s="14">
        <v>45.2</v>
      </c>
      <c r="G35" s="14">
        <v>57.95168417866259</v>
      </c>
      <c r="H35" s="14">
        <v>35.46395519052229</v>
      </c>
      <c r="I35" s="14">
        <v>29.167261277433333</v>
      </c>
      <c r="J35" s="9">
        <v>48.33196670186747</v>
      </c>
      <c r="K35" s="14">
        <v>59.0</v>
      </c>
      <c r="L35" s="14">
        <v>66.82473249970494</v>
      </c>
      <c r="M35" s="14">
        <v>61.608990996220655</v>
      </c>
    </row>
    <row r="36" ht="14.25" customHeight="1">
      <c r="A36" s="15">
        <v>674.0</v>
      </c>
      <c r="B36" s="13" t="s">
        <v>16</v>
      </c>
      <c r="C36" s="9">
        <v>30.4</v>
      </c>
      <c r="D36" s="14">
        <v>24.2</v>
      </c>
      <c r="E36" s="14">
        <v>41.0</v>
      </c>
      <c r="F36" s="14">
        <v>43.7</v>
      </c>
      <c r="G36" s="14">
        <v>57.8</v>
      </c>
      <c r="H36" s="14">
        <v>35.6</v>
      </c>
      <c r="I36" s="14">
        <v>28.7</v>
      </c>
      <c r="J36" s="9">
        <v>49.2</v>
      </c>
      <c r="K36" s="14">
        <v>54.5</v>
      </c>
      <c r="L36" s="14">
        <v>61.8</v>
      </c>
      <c r="M36" s="14">
        <v>57.2</v>
      </c>
    </row>
    <row r="37" ht="14.25" customHeight="1">
      <c r="A37" s="15">
        <v>675.0</v>
      </c>
      <c r="B37" s="13" t="s">
        <v>16</v>
      </c>
      <c r="C37" s="9">
        <v>32.6</v>
      </c>
      <c r="D37" s="14">
        <v>25.6</v>
      </c>
      <c r="E37" s="14">
        <v>44.0</v>
      </c>
      <c r="F37" s="14">
        <v>45.4</v>
      </c>
      <c r="G37" s="14">
        <v>57.6</v>
      </c>
      <c r="H37" s="14">
        <v>35.2</v>
      </c>
      <c r="I37" s="14">
        <v>29.6</v>
      </c>
      <c r="J37" s="9">
        <v>47.8</v>
      </c>
      <c r="K37" s="14">
        <v>58.5</v>
      </c>
      <c r="L37" s="14">
        <v>64.7</v>
      </c>
      <c r="M37" s="14">
        <v>60.0</v>
      </c>
    </row>
    <row r="38" ht="14.25" customHeight="1">
      <c r="A38" s="15">
        <v>676.0</v>
      </c>
      <c r="B38" s="13" t="s">
        <v>16</v>
      </c>
      <c r="C38" s="9">
        <v>30.2</v>
      </c>
      <c r="D38" s="14">
        <v>25.2</v>
      </c>
      <c r="E38" s="14">
        <v>42.7</v>
      </c>
      <c r="F38" s="14">
        <v>44.4</v>
      </c>
      <c r="G38" s="14">
        <v>58.2</v>
      </c>
      <c r="H38" s="14">
        <v>33.8</v>
      </c>
      <c r="I38" s="14">
        <v>29.5</v>
      </c>
      <c r="J38" s="9">
        <v>49.4</v>
      </c>
      <c r="K38" s="14">
        <v>57.8</v>
      </c>
      <c r="L38" s="14">
        <v>64.7</v>
      </c>
      <c r="M38" s="14">
        <v>60.0</v>
      </c>
    </row>
    <row r="39" ht="14.25" customHeight="1">
      <c r="A39" s="15">
        <v>677.0</v>
      </c>
      <c r="B39" s="13" t="s">
        <v>16</v>
      </c>
      <c r="C39" s="9">
        <v>32.3</v>
      </c>
      <c r="D39" s="14">
        <v>24.3</v>
      </c>
      <c r="E39" s="14">
        <v>41.6</v>
      </c>
      <c r="F39" s="14">
        <v>44.2</v>
      </c>
      <c r="G39" s="14">
        <v>57.0</v>
      </c>
      <c r="H39" s="14">
        <v>34.3</v>
      </c>
      <c r="I39" s="14">
        <v>29.4</v>
      </c>
      <c r="J39" s="9">
        <v>48.38</v>
      </c>
      <c r="K39" s="14">
        <v>56.7</v>
      </c>
      <c r="L39" s="14">
        <v>63.1</v>
      </c>
      <c r="M39" s="14">
        <v>58.4</v>
      </c>
    </row>
    <row r="40" ht="14.25" customHeight="1">
      <c r="A40" s="15">
        <v>678.0</v>
      </c>
      <c r="B40" s="13" t="s">
        <v>16</v>
      </c>
      <c r="C40" s="9">
        <v>30.8</v>
      </c>
      <c r="D40" s="14">
        <v>26.5</v>
      </c>
      <c r="E40" s="14">
        <v>46.7</v>
      </c>
      <c r="F40" s="14">
        <v>44.4</v>
      </c>
      <c r="G40" s="14">
        <v>58.0</v>
      </c>
      <c r="H40" s="14">
        <v>36.2</v>
      </c>
      <c r="I40" s="14">
        <v>29.5</v>
      </c>
      <c r="J40" s="9">
        <v>48.8</v>
      </c>
      <c r="K40" s="14">
        <v>54.3</v>
      </c>
      <c r="L40" s="14">
        <v>62.4</v>
      </c>
      <c r="M40" s="14">
        <v>58.0</v>
      </c>
    </row>
    <row r="41" ht="14.25" customHeight="1">
      <c r="A41" s="15">
        <v>679.0</v>
      </c>
      <c r="B41" s="13" t="s">
        <v>16</v>
      </c>
      <c r="C41" s="9">
        <v>28.1</v>
      </c>
      <c r="D41" s="14">
        <v>24.4</v>
      </c>
      <c r="E41" s="14">
        <v>42.3</v>
      </c>
      <c r="F41" s="14">
        <v>41.8</v>
      </c>
      <c r="G41" s="14">
        <v>54.7</v>
      </c>
      <c r="H41" s="14">
        <v>32.6</v>
      </c>
      <c r="I41" s="14">
        <v>29.3</v>
      </c>
      <c r="J41" s="9">
        <v>46.7</v>
      </c>
      <c r="K41" s="14">
        <v>51.9</v>
      </c>
      <c r="L41" s="14">
        <v>59.0</v>
      </c>
      <c r="M41" s="14">
        <v>54.5</v>
      </c>
    </row>
    <row r="42" ht="14.25" customHeight="1">
      <c r="A42" s="15">
        <v>680.0</v>
      </c>
      <c r="B42" s="13" t="s">
        <v>16</v>
      </c>
      <c r="C42" s="9">
        <v>30.4</v>
      </c>
      <c r="D42" s="14">
        <v>26.6</v>
      </c>
      <c r="E42" s="14">
        <v>44.4</v>
      </c>
      <c r="F42" s="14">
        <v>45.5</v>
      </c>
      <c r="G42" s="14">
        <v>59.3</v>
      </c>
      <c r="H42" s="14">
        <v>35.8</v>
      </c>
      <c r="I42" s="14">
        <v>29.4</v>
      </c>
      <c r="J42" s="9">
        <v>48.2</v>
      </c>
      <c r="K42" s="14">
        <v>58.3</v>
      </c>
      <c r="L42" s="14">
        <v>65.1</v>
      </c>
      <c r="M42" s="14">
        <v>60.7</v>
      </c>
    </row>
    <row r="43" ht="14.25" customHeight="1">
      <c r="A43" s="15">
        <v>681.0</v>
      </c>
      <c r="B43" s="13" t="s">
        <v>16</v>
      </c>
      <c r="C43" s="9">
        <v>31.866972003561326</v>
      </c>
      <c r="D43" s="14">
        <v>26.45494383380135</v>
      </c>
      <c r="E43" s="14">
        <v>45.8</v>
      </c>
      <c r="F43" s="14">
        <v>44.78522686420893</v>
      </c>
      <c r="G43" s="14">
        <v>58.298480391255204</v>
      </c>
      <c r="H43" s="14">
        <v>35.307494151095774</v>
      </c>
      <c r="I43" s="14">
        <v>29.60487481422515</v>
      </c>
      <c r="J43" s="9">
        <v>48.868299750106544</v>
      </c>
      <c r="K43" s="14">
        <v>58.02633665485961</v>
      </c>
      <c r="L43" s="14">
        <v>66.26330465645958</v>
      </c>
      <c r="M43" s="14">
        <v>61.35778863208578</v>
      </c>
    </row>
    <row r="44" ht="14.25" customHeight="1">
      <c r="A44" s="15">
        <v>682.0</v>
      </c>
      <c r="B44" s="13" t="s">
        <v>16</v>
      </c>
      <c r="C44" s="9">
        <v>28.8</v>
      </c>
      <c r="D44" s="14">
        <v>24.7</v>
      </c>
      <c r="E44" s="14">
        <v>43.4</v>
      </c>
      <c r="F44" s="14">
        <v>44.1</v>
      </c>
      <c r="G44" s="14">
        <v>57.29158095996582</v>
      </c>
      <c r="H44" s="14">
        <v>34.46521970969123</v>
      </c>
      <c r="I44" s="14">
        <v>28.84022756415384</v>
      </c>
      <c r="J44" s="9">
        <v>46.81566086387815</v>
      </c>
      <c r="K44" s="14">
        <v>55.67809252216265</v>
      </c>
      <c r="L44" s="14">
        <v>63.29345528557313</v>
      </c>
      <c r="M44" s="14">
        <v>58.43468868852741</v>
      </c>
    </row>
    <row r="45" ht="14.25" customHeight="1">
      <c r="A45" s="15">
        <v>683.0</v>
      </c>
      <c r="B45" s="13" t="s">
        <v>16</v>
      </c>
      <c r="C45" s="9">
        <v>29.224779627064606</v>
      </c>
      <c r="D45" s="14">
        <v>22.833620149886364</v>
      </c>
      <c r="E45" s="14">
        <v>39.3</v>
      </c>
      <c r="F45" s="14">
        <v>41.958396097382206</v>
      </c>
      <c r="G45" s="14">
        <v>54.719810829180275</v>
      </c>
      <c r="H45" s="14">
        <v>33.72826045025433</v>
      </c>
      <c r="I45" s="14">
        <v>27.85033325360551</v>
      </c>
      <c r="J45" s="9">
        <v>45.98492659554326</v>
      </c>
      <c r="K45" s="14">
        <v>51.64274614249338</v>
      </c>
      <c r="L45" s="14">
        <v>57.466177879294634</v>
      </c>
      <c r="M45" s="14">
        <v>53.17783275513706</v>
      </c>
    </row>
    <row r="46" ht="14.25" customHeight="1">
      <c r="A46" s="15">
        <v>684.0</v>
      </c>
      <c r="B46" s="13" t="s">
        <v>16</v>
      </c>
      <c r="C46" s="9">
        <v>31.663726436138504</v>
      </c>
      <c r="D46" s="14">
        <v>26.1763804735002</v>
      </c>
      <c r="E46" s="14">
        <v>45.3</v>
      </c>
      <c r="F46" s="14">
        <v>44.5677783436838</v>
      </c>
      <c r="G46" s="14">
        <v>58.02319811724944</v>
      </c>
      <c r="H46" s="14">
        <v>35.18601463564643</v>
      </c>
      <c r="I46" s="14">
        <v>29.469910078792868</v>
      </c>
      <c r="J46" s="9">
        <v>48.64650181514014</v>
      </c>
      <c r="K46" s="14">
        <v>57.53529123083144</v>
      </c>
      <c r="L46" s="14">
        <v>65.58660259667765</v>
      </c>
      <c r="M46" s="14">
        <v>60.72856125693588</v>
      </c>
    </row>
    <row r="47" ht="14.25" customHeight="1">
      <c r="A47" s="15">
        <v>685.0</v>
      </c>
      <c r="B47" s="13" t="s">
        <v>16</v>
      </c>
      <c r="C47" s="9">
        <v>30.087920566955013</v>
      </c>
      <c r="D47" s="14">
        <v>25.185215848923654</v>
      </c>
      <c r="E47" s="14">
        <v>43.49963621275794</v>
      </c>
      <c r="F47" s="14">
        <v>43.8</v>
      </c>
      <c r="G47" s="14">
        <v>57.1</v>
      </c>
      <c r="H47" s="14">
        <v>34.6</v>
      </c>
      <c r="I47" s="14">
        <v>29.140750774401656</v>
      </c>
      <c r="J47" s="9">
        <v>47.833832206528754</v>
      </c>
      <c r="K47" s="14">
        <v>55.0</v>
      </c>
      <c r="L47" s="14">
        <v>62.413775610424494</v>
      </c>
      <c r="M47" s="14">
        <v>57.8</v>
      </c>
    </row>
    <row r="48" ht="14.25" customHeight="1">
      <c r="A48" s="15">
        <v>686.0</v>
      </c>
      <c r="B48" s="13" t="s">
        <v>16</v>
      </c>
      <c r="C48" s="9">
        <v>31.8</v>
      </c>
      <c r="D48" s="14">
        <v>25.7</v>
      </c>
      <c r="E48" s="14">
        <v>44.4</v>
      </c>
      <c r="F48" s="14">
        <v>43.9</v>
      </c>
      <c r="G48" s="14">
        <v>57.0</v>
      </c>
      <c r="H48" s="14">
        <v>34.5</v>
      </c>
      <c r="I48" s="14">
        <v>29.3</v>
      </c>
      <c r="J48" s="9">
        <v>47.2</v>
      </c>
      <c r="K48" s="14">
        <v>56.9</v>
      </c>
      <c r="L48" s="14">
        <v>65.3</v>
      </c>
      <c r="M48" s="14">
        <v>60.3</v>
      </c>
    </row>
    <row r="49" ht="14.25" customHeight="1">
      <c r="A49" s="15">
        <v>687.0</v>
      </c>
      <c r="B49" s="13" t="s">
        <v>16</v>
      </c>
      <c r="C49" s="9">
        <v>30.147692982261862</v>
      </c>
      <c r="D49" s="14">
        <v>24.155960147340696</v>
      </c>
      <c r="E49" s="14">
        <v>42.15712202007303</v>
      </c>
      <c r="F49" s="14">
        <v>42.722615467931924</v>
      </c>
      <c r="G49" s="14">
        <v>55.98586880116429</v>
      </c>
      <c r="H49" s="14">
        <v>34.64320895641911</v>
      </c>
      <c r="I49" s="14">
        <v>28.0</v>
      </c>
      <c r="J49" s="9">
        <v>47.0</v>
      </c>
      <c r="K49" s="14">
        <v>53.712119224687456</v>
      </c>
      <c r="L49" s="14">
        <v>60.872183283693786</v>
      </c>
      <c r="M49" s="14">
        <v>56.36948750123046</v>
      </c>
    </row>
    <row r="50" ht="14.25" customHeight="1">
      <c r="A50" s="15">
        <v>688.0</v>
      </c>
      <c r="B50" s="13" t="s">
        <v>16</v>
      </c>
      <c r="C50" s="9">
        <v>30.6</v>
      </c>
      <c r="D50" s="14">
        <v>24.6</v>
      </c>
      <c r="E50" s="14">
        <v>43.86159627298141</v>
      </c>
      <c r="F50" s="14">
        <v>43.3</v>
      </c>
      <c r="G50" s="14">
        <v>56.0</v>
      </c>
      <c r="H50" s="14">
        <v>34.9</v>
      </c>
      <c r="I50" s="14">
        <v>28.5</v>
      </c>
      <c r="J50" s="9">
        <v>46.04558508767796</v>
      </c>
      <c r="K50" s="14">
        <v>55.0</v>
      </c>
      <c r="L50" s="14">
        <v>62.6</v>
      </c>
      <c r="M50" s="14">
        <v>57.5</v>
      </c>
    </row>
    <row r="51" ht="14.25" customHeight="1">
      <c r="A51" s="15">
        <v>689.0</v>
      </c>
      <c r="B51" s="13" t="s">
        <v>16</v>
      </c>
      <c r="C51" s="9">
        <v>34.6</v>
      </c>
      <c r="D51" s="14">
        <v>26.8</v>
      </c>
      <c r="E51" s="14">
        <v>45.4</v>
      </c>
      <c r="F51" s="14">
        <v>45.3</v>
      </c>
      <c r="G51" s="14">
        <v>58.93792301884899</v>
      </c>
      <c r="H51" s="14">
        <v>36.576611745488165</v>
      </c>
      <c r="I51" s="14">
        <v>29.9</v>
      </c>
      <c r="J51" s="9">
        <v>50.8</v>
      </c>
      <c r="K51" s="14">
        <v>57.9</v>
      </c>
      <c r="L51" s="14">
        <v>65.5</v>
      </c>
      <c r="M51" s="14">
        <v>60.9</v>
      </c>
    </row>
    <row r="52" ht="14.25" customHeight="1">
      <c r="A52" s="15">
        <v>690.0</v>
      </c>
      <c r="B52" s="13" t="s">
        <v>16</v>
      </c>
      <c r="C52" s="9">
        <v>29.7</v>
      </c>
      <c r="D52" s="14">
        <v>24.2</v>
      </c>
      <c r="E52" s="14">
        <v>43.0</v>
      </c>
      <c r="F52" s="14">
        <v>41.9</v>
      </c>
      <c r="G52" s="14">
        <v>55.6</v>
      </c>
      <c r="H52" s="14">
        <v>34.0</v>
      </c>
      <c r="I52" s="14">
        <v>27.3</v>
      </c>
      <c r="J52" s="9">
        <v>47.1</v>
      </c>
      <c r="K52" s="14">
        <v>54.7</v>
      </c>
      <c r="L52" s="14">
        <v>62.7</v>
      </c>
      <c r="M52" s="14">
        <v>58.2</v>
      </c>
    </row>
    <row r="53" ht="14.25" customHeight="1">
      <c r="A53" s="15">
        <v>691.0</v>
      </c>
      <c r="B53" s="13" t="s">
        <v>16</v>
      </c>
      <c r="C53" s="9">
        <v>32.5</v>
      </c>
      <c r="D53" s="14">
        <v>26.6</v>
      </c>
      <c r="E53" s="14">
        <v>45.1</v>
      </c>
      <c r="F53" s="14">
        <v>44.7</v>
      </c>
      <c r="G53" s="14">
        <v>58.4</v>
      </c>
      <c r="H53" s="14">
        <v>36.2</v>
      </c>
      <c r="I53" s="14">
        <v>29.6</v>
      </c>
      <c r="J53" s="9">
        <v>48.6</v>
      </c>
      <c r="K53" s="14">
        <v>58.6</v>
      </c>
      <c r="L53" s="14">
        <v>64.9</v>
      </c>
      <c r="M53" s="14">
        <v>60.3</v>
      </c>
    </row>
    <row r="54" ht="14.25" customHeight="1">
      <c r="A54" s="15">
        <v>744.0</v>
      </c>
      <c r="B54" s="13" t="s">
        <v>16</v>
      </c>
      <c r="C54" s="9">
        <v>30.0</v>
      </c>
      <c r="D54" s="14">
        <v>24.5</v>
      </c>
      <c r="E54" s="14">
        <v>43.3</v>
      </c>
      <c r="F54" s="14">
        <v>43.0</v>
      </c>
      <c r="G54" s="14">
        <v>55.3</v>
      </c>
      <c r="H54" s="14">
        <v>34.0</v>
      </c>
      <c r="I54" s="14">
        <v>28.1</v>
      </c>
      <c r="J54" s="9">
        <v>44.7</v>
      </c>
      <c r="K54" s="14">
        <v>54.0</v>
      </c>
      <c r="L54" s="14">
        <v>62.3</v>
      </c>
      <c r="M54" s="14">
        <v>57.1</v>
      </c>
    </row>
    <row r="55" ht="14.25" customHeight="1">
      <c r="A55" s="15">
        <v>105.0</v>
      </c>
      <c r="B55" s="13" t="s">
        <v>17</v>
      </c>
      <c r="C55" s="9">
        <v>84.3</v>
      </c>
      <c r="D55" s="14">
        <v>45.9</v>
      </c>
      <c r="E55" s="14">
        <v>96.5</v>
      </c>
      <c r="F55" s="14">
        <v>76.3</v>
      </c>
      <c r="G55" s="14">
        <v>122.3</v>
      </c>
      <c r="H55" s="14">
        <v>79.1</v>
      </c>
      <c r="I55" s="14">
        <v>46.6</v>
      </c>
      <c r="J55" s="9">
        <v>110.0</v>
      </c>
      <c r="K55" s="14">
        <v>151.7</v>
      </c>
      <c r="L55" s="14">
        <v>175.2</v>
      </c>
      <c r="M55" s="14">
        <v>167.1</v>
      </c>
    </row>
    <row r="56" ht="14.25" customHeight="1">
      <c r="A56" s="15">
        <v>106.0</v>
      </c>
      <c r="B56" s="13" t="s">
        <v>17</v>
      </c>
      <c r="C56" s="9">
        <v>85.7</v>
      </c>
      <c r="D56" s="14">
        <v>46.1</v>
      </c>
      <c r="E56" s="14">
        <v>94.4</v>
      </c>
      <c r="F56" s="14">
        <v>70.8</v>
      </c>
      <c r="G56" s="14">
        <v>121.4</v>
      </c>
      <c r="H56" s="14">
        <v>80.30881379994796</v>
      </c>
      <c r="I56" s="14">
        <v>47.2</v>
      </c>
      <c r="J56" s="9">
        <v>105.6</v>
      </c>
      <c r="K56" s="14">
        <v>149.0</v>
      </c>
      <c r="L56" s="14">
        <v>175.3</v>
      </c>
      <c r="M56" s="14">
        <v>168.0</v>
      </c>
    </row>
    <row r="57" ht="14.25" customHeight="1">
      <c r="A57" s="15">
        <v>107.0</v>
      </c>
      <c r="B57" s="13" t="s">
        <v>17</v>
      </c>
      <c r="C57" s="9">
        <v>78.3</v>
      </c>
      <c r="D57" s="14">
        <v>45.5</v>
      </c>
      <c r="E57" s="14">
        <v>93.1</v>
      </c>
      <c r="F57" s="14">
        <v>76.3</v>
      </c>
      <c r="G57" s="14">
        <v>122.7667468608753</v>
      </c>
      <c r="H57" s="14">
        <v>79.60614715672601</v>
      </c>
      <c r="I57" s="14">
        <v>46.4936588156806</v>
      </c>
      <c r="J57" s="9">
        <v>108.09537853930932</v>
      </c>
      <c r="K57" s="14">
        <v>151.30032888923918</v>
      </c>
      <c r="L57" s="14">
        <v>175.60018144527285</v>
      </c>
      <c r="M57" s="14">
        <v>167.60906858171802</v>
      </c>
    </row>
    <row r="58" ht="14.25" customHeight="1">
      <c r="A58" s="15">
        <v>108.0</v>
      </c>
      <c r="B58" s="13" t="s">
        <v>17</v>
      </c>
      <c r="C58" s="9">
        <v>80.18340858278188</v>
      </c>
      <c r="D58" s="14">
        <v>48.34661808873173</v>
      </c>
      <c r="E58" s="14">
        <v>92.08090562943865</v>
      </c>
      <c r="F58" s="14">
        <v>72.8</v>
      </c>
      <c r="G58" s="14">
        <v>119.0</v>
      </c>
      <c r="H58" s="14">
        <v>76.3</v>
      </c>
      <c r="I58" s="14">
        <v>45.5</v>
      </c>
      <c r="J58" s="9">
        <v>106.8</v>
      </c>
      <c r="K58" s="14">
        <v>146.44539530920824</v>
      </c>
      <c r="L58" s="14">
        <v>170.5</v>
      </c>
      <c r="M58" s="14">
        <v>161.4</v>
      </c>
    </row>
    <row r="59" ht="14.25" customHeight="1">
      <c r="A59" s="15">
        <v>109.0</v>
      </c>
      <c r="B59" s="13" t="s">
        <v>17</v>
      </c>
      <c r="C59" s="9">
        <v>87.5</v>
      </c>
      <c r="D59" s="14">
        <v>45.7</v>
      </c>
      <c r="E59" s="14">
        <v>95.5</v>
      </c>
      <c r="F59" s="14">
        <v>75.11045576258836</v>
      </c>
      <c r="G59" s="14">
        <v>122.9354500833451</v>
      </c>
      <c r="H59" s="14">
        <v>80.0300413962113</v>
      </c>
      <c r="I59" s="14">
        <v>46.880283876111584</v>
      </c>
      <c r="J59" s="9">
        <v>104.70804052007722</v>
      </c>
      <c r="K59" s="14">
        <v>151.70342064542797</v>
      </c>
      <c r="L59" s="14">
        <v>177.8488058518489</v>
      </c>
      <c r="M59" s="14">
        <v>170.56885329687603</v>
      </c>
    </row>
    <row r="60" ht="14.25" customHeight="1">
      <c r="A60" s="15">
        <v>110.0</v>
      </c>
      <c r="B60" s="13" t="s">
        <v>17</v>
      </c>
      <c r="C60" s="9">
        <v>83.06857478181117</v>
      </c>
      <c r="D60" s="14">
        <v>45.050540812751834</v>
      </c>
      <c r="E60" s="14">
        <v>97.07721042982556</v>
      </c>
      <c r="F60" s="14">
        <v>75.12040036388458</v>
      </c>
      <c r="G60" s="14">
        <v>123.24238323731001</v>
      </c>
      <c r="H60" s="14">
        <v>80.72711572906854</v>
      </c>
      <c r="I60" s="14">
        <v>47.4</v>
      </c>
      <c r="J60" s="9">
        <v>105.8</v>
      </c>
      <c r="K60" s="14">
        <v>151.9597706260073</v>
      </c>
      <c r="L60" s="14">
        <v>176.52162251347704</v>
      </c>
      <c r="M60" s="14">
        <v>168.77167524264578</v>
      </c>
    </row>
    <row r="61" ht="14.25" customHeight="1">
      <c r="A61" s="15">
        <v>111.0</v>
      </c>
      <c r="B61" s="13" t="s">
        <v>17</v>
      </c>
      <c r="C61" s="9">
        <v>85.2</v>
      </c>
      <c r="D61" s="14">
        <v>41.2</v>
      </c>
      <c r="E61" s="14">
        <v>92.2</v>
      </c>
      <c r="F61" s="14">
        <v>73.7</v>
      </c>
      <c r="G61" s="14">
        <v>122.7</v>
      </c>
      <c r="H61" s="14">
        <v>79.9</v>
      </c>
      <c r="I61" s="14">
        <v>46.4</v>
      </c>
      <c r="J61" s="9">
        <v>100.22766421551503</v>
      </c>
      <c r="K61" s="14">
        <v>153.8</v>
      </c>
      <c r="L61" s="14">
        <v>176.8</v>
      </c>
      <c r="M61" s="14">
        <v>170.9</v>
      </c>
    </row>
    <row r="62" ht="14.25" customHeight="1">
      <c r="A62" s="15">
        <v>112.0</v>
      </c>
      <c r="B62" s="13" t="s">
        <v>17</v>
      </c>
      <c r="C62" s="9">
        <v>81.8</v>
      </c>
      <c r="D62" s="14">
        <v>42.3</v>
      </c>
      <c r="E62" s="14">
        <v>93.69209458717044</v>
      </c>
      <c r="F62" s="14">
        <v>74.0</v>
      </c>
      <c r="G62" s="14">
        <v>121.49823516045545</v>
      </c>
      <c r="H62" s="14">
        <v>80.14625388494126</v>
      </c>
      <c r="I62" s="14">
        <v>46.4667017983898</v>
      </c>
      <c r="J62" s="9">
        <v>103.35857644437907</v>
      </c>
      <c r="K62" s="14">
        <v>149.98161537096647</v>
      </c>
      <c r="L62" s="14">
        <v>174.2878821876179</v>
      </c>
      <c r="M62" s="14">
        <v>167.29578788900113</v>
      </c>
    </row>
    <row r="63" ht="14.25" customHeight="1">
      <c r="A63" s="15">
        <v>113.0</v>
      </c>
      <c r="B63" s="13" t="s">
        <v>17</v>
      </c>
      <c r="C63" s="9">
        <v>80.6</v>
      </c>
      <c r="D63" s="14">
        <v>44.2</v>
      </c>
      <c r="E63" s="14">
        <v>88.6</v>
      </c>
      <c r="F63" s="14">
        <v>75.6</v>
      </c>
      <c r="G63" s="14">
        <v>124.6</v>
      </c>
      <c r="H63" s="14">
        <v>79.6</v>
      </c>
      <c r="I63" s="14">
        <v>45.5</v>
      </c>
      <c r="J63" s="9">
        <v>104.4</v>
      </c>
      <c r="K63" s="14">
        <v>154.5</v>
      </c>
      <c r="L63" s="14">
        <v>181.0</v>
      </c>
      <c r="M63" s="14">
        <v>174.3</v>
      </c>
    </row>
    <row r="64" ht="14.25" customHeight="1">
      <c r="A64" s="15">
        <v>114.0</v>
      </c>
      <c r="B64" s="13" t="s">
        <v>17</v>
      </c>
      <c r="C64" s="9">
        <v>78.2</v>
      </c>
      <c r="D64" s="14">
        <v>46.0</v>
      </c>
      <c r="E64" s="14">
        <v>93.1</v>
      </c>
      <c r="F64" s="14">
        <v>75.3</v>
      </c>
      <c r="G64" s="14">
        <v>124.3</v>
      </c>
      <c r="H64" s="14">
        <v>80.9</v>
      </c>
      <c r="I64" s="14">
        <v>46.2</v>
      </c>
      <c r="J64" s="9">
        <v>115.2</v>
      </c>
      <c r="K64" s="14">
        <v>152.8</v>
      </c>
      <c r="L64" s="14">
        <v>177.7</v>
      </c>
      <c r="M64" s="14">
        <v>168.9</v>
      </c>
    </row>
    <row r="65" ht="14.25" customHeight="1">
      <c r="A65" s="15">
        <v>115.0</v>
      </c>
      <c r="B65" s="13" t="s">
        <v>17</v>
      </c>
      <c r="C65" s="9">
        <v>91.1</v>
      </c>
      <c r="D65" s="14">
        <v>45.53285192503076</v>
      </c>
      <c r="E65" s="14">
        <v>102.16597170156949</v>
      </c>
      <c r="F65" s="14">
        <v>76.0</v>
      </c>
      <c r="G65" s="14">
        <v>124.67052118067586</v>
      </c>
      <c r="H65" s="14">
        <v>81.67637048981486</v>
      </c>
      <c r="I65" s="14">
        <v>47.98233712517124</v>
      </c>
      <c r="J65" s="9">
        <v>105.05737067236822</v>
      </c>
      <c r="K65" s="14">
        <v>153.5485379511878</v>
      </c>
      <c r="L65" s="14">
        <v>179.70059415774412</v>
      </c>
      <c r="M65" s="14">
        <v>172.2242838899609</v>
      </c>
    </row>
    <row r="66" ht="14.25" customHeight="1">
      <c r="A66" s="15">
        <v>116.0</v>
      </c>
      <c r="B66" s="13" t="s">
        <v>17</v>
      </c>
      <c r="C66" s="9">
        <v>83.7164192350267</v>
      </c>
      <c r="D66" s="14">
        <v>45.549176865703075</v>
      </c>
      <c r="E66" s="14">
        <v>99.2</v>
      </c>
      <c r="F66" s="14">
        <v>75.85434520725889</v>
      </c>
      <c r="G66" s="14">
        <v>123.77093549871134</v>
      </c>
      <c r="H66" s="14">
        <v>80.93148660274946</v>
      </c>
      <c r="I66" s="14">
        <v>47.485067537831796</v>
      </c>
      <c r="J66" s="9">
        <v>107.02544710946033</v>
      </c>
      <c r="K66" s="14">
        <v>152.35307260486925</v>
      </c>
      <c r="L66" s="14">
        <v>176.93309427823553</v>
      </c>
      <c r="M66" s="14">
        <v>168.8947271777218</v>
      </c>
    </row>
    <row r="67" ht="14.25" customHeight="1">
      <c r="A67" s="15">
        <v>117.0</v>
      </c>
      <c r="B67" s="13" t="s">
        <v>17</v>
      </c>
      <c r="C67" s="9">
        <v>83.0</v>
      </c>
      <c r="D67" s="14">
        <v>44.4</v>
      </c>
      <c r="E67" s="14">
        <v>94.8</v>
      </c>
      <c r="F67" s="14">
        <v>72.4</v>
      </c>
      <c r="G67" s="14">
        <v>105.5</v>
      </c>
      <c r="H67" s="14">
        <v>76.2</v>
      </c>
      <c r="I67" s="14">
        <v>46.6</v>
      </c>
      <c r="J67" s="9">
        <v>101.9</v>
      </c>
      <c r="K67" s="14">
        <v>145.2</v>
      </c>
      <c r="L67" s="14">
        <v>172.9</v>
      </c>
      <c r="M67" s="14">
        <v>163.8</v>
      </c>
    </row>
    <row r="68" ht="14.25" customHeight="1">
      <c r="A68" s="15">
        <v>118.0</v>
      </c>
      <c r="B68" s="13" t="s">
        <v>17</v>
      </c>
      <c r="C68" s="9">
        <v>79.1</v>
      </c>
      <c r="D68" s="14">
        <v>49.2</v>
      </c>
      <c r="E68" s="14">
        <v>94.9</v>
      </c>
      <c r="F68" s="14">
        <v>82.2</v>
      </c>
      <c r="G68" s="14">
        <v>121.0</v>
      </c>
      <c r="H68" s="14">
        <v>77.0</v>
      </c>
      <c r="I68" s="14">
        <v>45.1</v>
      </c>
      <c r="J68" s="9">
        <v>112.6823562597488</v>
      </c>
      <c r="K68" s="14">
        <v>150.7</v>
      </c>
      <c r="L68" s="14">
        <v>177.13466730927297</v>
      </c>
      <c r="M68" s="14">
        <v>168.11914313853944</v>
      </c>
    </row>
    <row r="69" ht="14.25" customHeight="1">
      <c r="A69" s="15">
        <v>119.0</v>
      </c>
      <c r="B69" s="13" t="s">
        <v>17</v>
      </c>
      <c r="C69" s="9">
        <v>85.40978471578501</v>
      </c>
      <c r="D69" s="14">
        <v>43.0661346796473</v>
      </c>
      <c r="E69" s="14">
        <v>95.6</v>
      </c>
      <c r="F69" s="14">
        <v>71.6</v>
      </c>
      <c r="G69" s="14">
        <v>119.5</v>
      </c>
      <c r="H69" s="14">
        <v>78.3</v>
      </c>
      <c r="I69" s="14">
        <v>45.982209408997214</v>
      </c>
      <c r="J69" s="9">
        <v>95.26094675478112</v>
      </c>
      <c r="K69" s="14">
        <v>148.2</v>
      </c>
      <c r="L69" s="14">
        <v>170.6</v>
      </c>
      <c r="M69" s="14">
        <v>165.8</v>
      </c>
    </row>
    <row r="70" ht="14.25" customHeight="1">
      <c r="A70" s="15">
        <v>120.0</v>
      </c>
      <c r="B70" s="13" t="s">
        <v>17</v>
      </c>
      <c r="C70" s="9">
        <v>83.7</v>
      </c>
      <c r="D70" s="14">
        <v>43.3</v>
      </c>
      <c r="E70" s="14">
        <v>91.1</v>
      </c>
      <c r="F70" s="14">
        <v>74.5</v>
      </c>
      <c r="G70" s="14">
        <v>121.6</v>
      </c>
      <c r="H70" s="14">
        <v>78.8</v>
      </c>
      <c r="I70" s="14">
        <v>44.7</v>
      </c>
      <c r="J70" s="9">
        <v>103.6</v>
      </c>
      <c r="K70" s="14">
        <v>145.2</v>
      </c>
      <c r="L70" s="14">
        <v>172.0</v>
      </c>
      <c r="M70" s="14">
        <v>164.5</v>
      </c>
    </row>
    <row r="71" ht="14.25" customHeight="1">
      <c r="A71" s="15">
        <v>121.0</v>
      </c>
      <c r="B71" s="13" t="s">
        <v>17</v>
      </c>
      <c r="C71" s="9">
        <v>85.6</v>
      </c>
      <c r="D71" s="14">
        <v>42.3</v>
      </c>
      <c r="E71" s="14">
        <v>96.99743436972993</v>
      </c>
      <c r="F71" s="14">
        <v>77.2</v>
      </c>
      <c r="G71" s="14">
        <v>124.3</v>
      </c>
      <c r="H71" s="14">
        <v>81.43258549860354</v>
      </c>
      <c r="I71" s="14">
        <v>47.09984194524419</v>
      </c>
      <c r="J71" s="9">
        <v>104.67479610433602</v>
      </c>
      <c r="K71" s="14">
        <v>153.11901500933544</v>
      </c>
      <c r="L71" s="14">
        <v>178.7133686664287</v>
      </c>
      <c r="M71" s="14">
        <v>172.02012671066024</v>
      </c>
    </row>
    <row r="72" ht="14.25" customHeight="1">
      <c r="A72" s="15">
        <v>122.0</v>
      </c>
      <c r="B72" s="13" t="s">
        <v>17</v>
      </c>
      <c r="C72" s="9">
        <v>86.8</v>
      </c>
      <c r="D72" s="14">
        <v>45.4</v>
      </c>
      <c r="E72" s="14">
        <v>94.3</v>
      </c>
      <c r="F72" s="14">
        <v>75.2</v>
      </c>
      <c r="G72" s="14">
        <v>125.6</v>
      </c>
      <c r="H72" s="14">
        <v>82.9</v>
      </c>
      <c r="I72" s="14">
        <v>48.7</v>
      </c>
      <c r="J72" s="9">
        <v>105.3</v>
      </c>
      <c r="K72" s="14">
        <v>154.2</v>
      </c>
      <c r="L72" s="14">
        <v>182.3</v>
      </c>
      <c r="M72" s="14">
        <v>174.5</v>
      </c>
    </row>
    <row r="73" ht="14.25" customHeight="1">
      <c r="A73" s="15">
        <v>123.0</v>
      </c>
      <c r="B73" s="13" t="s">
        <v>17</v>
      </c>
      <c r="C73" s="9">
        <v>85.9</v>
      </c>
      <c r="D73" s="14">
        <v>47.2</v>
      </c>
      <c r="E73" s="14">
        <v>106.7</v>
      </c>
      <c r="F73" s="14">
        <v>84.4</v>
      </c>
      <c r="G73" s="14">
        <v>131.3</v>
      </c>
      <c r="H73" s="14">
        <v>84.1</v>
      </c>
      <c r="I73" s="14">
        <v>49.3</v>
      </c>
      <c r="J73" s="9">
        <v>110.4</v>
      </c>
      <c r="K73" s="14">
        <v>161.6</v>
      </c>
      <c r="L73" s="14">
        <v>191.2</v>
      </c>
      <c r="M73" s="14">
        <v>183.3</v>
      </c>
    </row>
    <row r="74" ht="14.25" customHeight="1">
      <c r="A74" s="15">
        <v>124.0</v>
      </c>
      <c r="B74" s="13" t="s">
        <v>17</v>
      </c>
      <c r="C74" s="9">
        <v>84.2</v>
      </c>
      <c r="D74" s="14">
        <v>48.2</v>
      </c>
      <c r="E74" s="14">
        <v>103.9</v>
      </c>
      <c r="F74" s="14">
        <v>63.9</v>
      </c>
      <c r="G74" s="14">
        <v>122.68665865287096</v>
      </c>
      <c r="H74" s="14">
        <v>82.0</v>
      </c>
      <c r="I74" s="14">
        <v>47.7</v>
      </c>
      <c r="J74" s="9">
        <v>104.8</v>
      </c>
      <c r="K74" s="14">
        <v>147.7838475346032</v>
      </c>
      <c r="L74" s="14">
        <v>169.12757047724185</v>
      </c>
      <c r="M74" s="14">
        <v>159.368292003961</v>
      </c>
    </row>
    <row r="75" ht="14.25" customHeight="1">
      <c r="A75" s="15">
        <v>125.0</v>
      </c>
      <c r="B75" s="13" t="s">
        <v>17</v>
      </c>
      <c r="C75" s="9">
        <v>79.8</v>
      </c>
      <c r="D75" s="14">
        <v>43.6</v>
      </c>
      <c r="E75" s="14">
        <v>95.8</v>
      </c>
      <c r="F75" s="14">
        <v>76.6</v>
      </c>
      <c r="G75" s="14">
        <v>130.97284446894022</v>
      </c>
      <c r="H75" s="14">
        <v>84.7</v>
      </c>
      <c r="I75" s="14">
        <v>47.4</v>
      </c>
      <c r="J75" s="9">
        <v>110.50744624803667</v>
      </c>
      <c r="K75" s="14">
        <v>157.45527484758003</v>
      </c>
      <c r="L75" s="14">
        <v>182.47780292770165</v>
      </c>
      <c r="M75" s="14">
        <v>174.9755960964949</v>
      </c>
    </row>
    <row r="76" ht="14.25" customHeight="1">
      <c r="A76" s="15">
        <v>126.0</v>
      </c>
      <c r="B76" s="13" t="s">
        <v>17</v>
      </c>
      <c r="C76" s="9">
        <v>86.3</v>
      </c>
      <c r="D76" s="14">
        <v>44.5</v>
      </c>
      <c r="E76" s="14">
        <v>103.3</v>
      </c>
      <c r="F76" s="14">
        <v>81.2</v>
      </c>
      <c r="G76" s="14">
        <v>125.7</v>
      </c>
      <c r="H76" s="14">
        <v>82.654938085503</v>
      </c>
      <c r="I76" s="14">
        <v>48.8</v>
      </c>
      <c r="J76" s="9">
        <v>118.5</v>
      </c>
      <c r="K76" s="14">
        <v>152.8</v>
      </c>
      <c r="L76" s="14">
        <v>179.3</v>
      </c>
      <c r="M76" s="14">
        <v>169.5</v>
      </c>
    </row>
    <row r="77" ht="14.25" customHeight="1">
      <c r="A77" s="15">
        <v>127.0</v>
      </c>
      <c r="B77" s="13" t="s">
        <v>17</v>
      </c>
      <c r="C77" s="9">
        <v>83.1</v>
      </c>
      <c r="D77" s="14">
        <v>48.0</v>
      </c>
      <c r="E77" s="14">
        <v>95.7</v>
      </c>
      <c r="F77" s="14">
        <v>78.1</v>
      </c>
      <c r="G77" s="14">
        <v>128.6</v>
      </c>
      <c r="H77" s="14">
        <v>80.2</v>
      </c>
      <c r="I77" s="14">
        <v>47.3</v>
      </c>
      <c r="J77" s="9">
        <v>103.7</v>
      </c>
      <c r="K77" s="14">
        <v>155.3</v>
      </c>
      <c r="L77" s="14">
        <v>175.8</v>
      </c>
      <c r="M77" s="14">
        <v>170.4</v>
      </c>
    </row>
    <row r="78" ht="14.25" customHeight="1">
      <c r="A78" s="15">
        <v>128.0</v>
      </c>
      <c r="B78" s="13" t="s">
        <v>17</v>
      </c>
      <c r="C78" s="9">
        <v>82.7</v>
      </c>
      <c r="D78" s="14">
        <v>45.4</v>
      </c>
      <c r="E78" s="14">
        <v>102.1</v>
      </c>
      <c r="F78" s="14">
        <v>73.6</v>
      </c>
      <c r="G78" s="14">
        <v>120.2</v>
      </c>
      <c r="H78" s="14">
        <v>77.95314251216291</v>
      </c>
      <c r="I78" s="14">
        <v>47.0</v>
      </c>
      <c r="J78" s="9">
        <v>101.6</v>
      </c>
      <c r="K78" s="14">
        <v>144.77389111548445</v>
      </c>
      <c r="L78" s="14">
        <v>164.0</v>
      </c>
      <c r="M78" s="14">
        <v>156.63656519170323</v>
      </c>
    </row>
    <row r="79" ht="14.25" customHeight="1">
      <c r="A79" s="15">
        <v>129.0</v>
      </c>
      <c r="B79" s="13" t="s">
        <v>17</v>
      </c>
      <c r="C79" s="9">
        <v>77.8</v>
      </c>
      <c r="D79" s="14">
        <v>44.8</v>
      </c>
      <c r="E79" s="14">
        <v>91.4</v>
      </c>
      <c r="F79" s="14">
        <v>71.2</v>
      </c>
      <c r="G79" s="14">
        <v>117.7</v>
      </c>
      <c r="H79" s="14">
        <v>77.6</v>
      </c>
      <c r="I79" s="14">
        <v>47.8</v>
      </c>
      <c r="J79" s="9">
        <v>107.2</v>
      </c>
      <c r="K79" s="14">
        <v>145.5</v>
      </c>
      <c r="L79" s="14">
        <v>168.8</v>
      </c>
      <c r="M79" s="14">
        <v>159.9</v>
      </c>
    </row>
    <row r="80" ht="14.25" customHeight="1">
      <c r="A80" s="15">
        <v>130.0</v>
      </c>
      <c r="B80" s="13" t="s">
        <v>17</v>
      </c>
      <c r="C80" s="9">
        <v>76.4</v>
      </c>
      <c r="D80" s="14">
        <v>41.0</v>
      </c>
      <c r="E80" s="14">
        <v>81.6</v>
      </c>
      <c r="F80" s="14">
        <v>71.1</v>
      </c>
      <c r="G80" s="14">
        <v>117.7</v>
      </c>
      <c r="H80" s="14">
        <v>76.9</v>
      </c>
      <c r="I80" s="14">
        <v>43.6</v>
      </c>
      <c r="J80" s="9">
        <v>99.1</v>
      </c>
      <c r="K80" s="14">
        <v>142.1</v>
      </c>
      <c r="L80" s="14">
        <v>166.5</v>
      </c>
      <c r="M80" s="14">
        <v>161.2</v>
      </c>
    </row>
    <row r="81" ht="14.25" customHeight="1">
      <c r="A81" s="15">
        <v>131.0</v>
      </c>
      <c r="B81" s="13" t="s">
        <v>17</v>
      </c>
      <c r="C81" s="9">
        <v>81.0</v>
      </c>
      <c r="D81" s="14">
        <v>40.9</v>
      </c>
      <c r="E81" s="14">
        <v>99.7</v>
      </c>
      <c r="F81" s="14">
        <v>76.2</v>
      </c>
      <c r="G81" s="14">
        <v>121.5</v>
      </c>
      <c r="H81" s="14">
        <v>80.2</v>
      </c>
      <c r="I81" s="14">
        <v>46.7</v>
      </c>
      <c r="J81" s="9">
        <v>100.4</v>
      </c>
      <c r="K81" s="14">
        <v>148.2</v>
      </c>
      <c r="L81" s="14">
        <v>171.5</v>
      </c>
      <c r="M81" s="14">
        <v>164.7</v>
      </c>
    </row>
    <row r="82" ht="14.25" customHeight="1">
      <c r="A82" s="15">
        <v>132.0</v>
      </c>
      <c r="B82" s="13" t="s">
        <v>17</v>
      </c>
      <c r="C82" s="9">
        <v>80.2</v>
      </c>
      <c r="D82" s="14">
        <v>41.9</v>
      </c>
      <c r="E82" s="14">
        <v>94.5447099146664</v>
      </c>
      <c r="F82" s="14">
        <v>72.5</v>
      </c>
      <c r="G82" s="14">
        <v>120.9</v>
      </c>
      <c r="H82" s="14">
        <v>79.9</v>
      </c>
      <c r="I82" s="14">
        <v>46.4</v>
      </c>
      <c r="J82" s="9">
        <v>97.8</v>
      </c>
      <c r="K82" s="14">
        <v>150.5</v>
      </c>
      <c r="L82" s="14">
        <v>172.5</v>
      </c>
      <c r="M82" s="14">
        <v>165.7</v>
      </c>
    </row>
    <row r="83" ht="14.25" customHeight="1">
      <c r="A83" s="15">
        <v>133.0</v>
      </c>
      <c r="B83" s="13" t="s">
        <v>17</v>
      </c>
      <c r="C83" s="9">
        <v>86.6</v>
      </c>
      <c r="D83" s="14">
        <v>46.5</v>
      </c>
      <c r="E83" s="14">
        <v>100.4</v>
      </c>
      <c r="F83" s="14">
        <v>77.7</v>
      </c>
      <c r="G83" s="14">
        <v>125.7</v>
      </c>
      <c r="H83" s="14">
        <v>81.1</v>
      </c>
      <c r="I83" s="14">
        <v>46.7</v>
      </c>
      <c r="J83" s="9">
        <v>108.5</v>
      </c>
      <c r="K83" s="14">
        <v>153.6</v>
      </c>
      <c r="L83" s="14">
        <v>180.1</v>
      </c>
      <c r="M83" s="14">
        <v>171.7</v>
      </c>
    </row>
    <row r="84" ht="14.25" customHeight="1">
      <c r="A84" s="15">
        <v>134.0</v>
      </c>
      <c r="B84" s="13" t="s">
        <v>17</v>
      </c>
      <c r="C84" s="9">
        <v>79.5</v>
      </c>
      <c r="D84" s="14">
        <v>43.3</v>
      </c>
      <c r="E84" s="14">
        <v>96.1</v>
      </c>
      <c r="F84" s="14">
        <v>76.3</v>
      </c>
      <c r="G84" s="14">
        <v>126.6</v>
      </c>
      <c r="H84" s="14">
        <v>84.2</v>
      </c>
      <c r="I84" s="14">
        <v>49.1</v>
      </c>
      <c r="J84" s="9">
        <v>111.9</v>
      </c>
      <c r="K84" s="14">
        <v>156.2</v>
      </c>
      <c r="L84" s="14">
        <v>181.0</v>
      </c>
      <c r="M84" s="14">
        <v>173.3</v>
      </c>
    </row>
    <row r="85" ht="14.25" customHeight="1">
      <c r="A85" s="15">
        <v>135.0</v>
      </c>
      <c r="B85" s="13" t="s">
        <v>17</v>
      </c>
      <c r="C85" s="9">
        <v>81.5</v>
      </c>
      <c r="D85" s="14">
        <v>45.9</v>
      </c>
      <c r="E85" s="14">
        <v>99.7</v>
      </c>
      <c r="F85" s="14">
        <v>77.6</v>
      </c>
      <c r="G85" s="14">
        <v>123.9</v>
      </c>
      <c r="H85" s="14">
        <v>81.2</v>
      </c>
      <c r="I85" s="14">
        <v>47.1</v>
      </c>
      <c r="J85" s="9">
        <v>111.3</v>
      </c>
      <c r="K85" s="14">
        <v>155.3</v>
      </c>
      <c r="L85" s="14">
        <v>177.8</v>
      </c>
      <c r="M85" s="14">
        <v>170.2</v>
      </c>
    </row>
    <row r="86" ht="14.25" customHeight="1">
      <c r="A86" s="15">
        <v>136.0</v>
      </c>
      <c r="B86" s="13" t="s">
        <v>17</v>
      </c>
      <c r="C86" s="9">
        <v>79.1</v>
      </c>
      <c r="D86" s="14">
        <v>44.0</v>
      </c>
      <c r="E86" s="14">
        <v>95.4</v>
      </c>
      <c r="F86" s="14">
        <v>72.5</v>
      </c>
      <c r="G86" s="14">
        <v>121.4</v>
      </c>
      <c r="H86" s="14">
        <v>79.2</v>
      </c>
      <c r="I86" s="14">
        <v>46.2</v>
      </c>
      <c r="J86" s="9">
        <v>103.5</v>
      </c>
      <c r="K86" s="14">
        <v>148.9</v>
      </c>
      <c r="L86" s="14">
        <v>172.6</v>
      </c>
      <c r="M86" s="14">
        <v>165.1</v>
      </c>
    </row>
    <row r="87" ht="14.25" customHeight="1">
      <c r="A87" s="15">
        <v>137.0</v>
      </c>
      <c r="B87" s="13" t="s">
        <v>17</v>
      </c>
      <c r="C87" s="9">
        <v>80.6</v>
      </c>
      <c r="D87" s="14">
        <v>41.9</v>
      </c>
      <c r="E87" s="14">
        <v>92.5</v>
      </c>
      <c r="F87" s="14">
        <v>75.5</v>
      </c>
      <c r="G87" s="14">
        <v>122.5</v>
      </c>
      <c r="H87" s="14">
        <v>80.9</v>
      </c>
      <c r="I87" s="14">
        <v>46.2</v>
      </c>
      <c r="J87" s="9">
        <v>106.9</v>
      </c>
      <c r="K87" s="14">
        <v>152.3</v>
      </c>
      <c r="L87" s="14">
        <v>176.0</v>
      </c>
      <c r="M87" s="14">
        <v>168.4</v>
      </c>
    </row>
    <row r="88" ht="14.25" customHeight="1">
      <c r="A88" s="15">
        <v>138.0</v>
      </c>
      <c r="B88" s="13" t="s">
        <v>17</v>
      </c>
      <c r="C88" s="9">
        <v>81.9</v>
      </c>
      <c r="D88" s="14">
        <v>46.8</v>
      </c>
      <c r="E88" s="14">
        <v>97.6</v>
      </c>
      <c r="F88" s="14">
        <v>73.5</v>
      </c>
      <c r="G88" s="14">
        <v>120.2</v>
      </c>
      <c r="H88" s="14">
        <v>80.2</v>
      </c>
      <c r="I88" s="14">
        <v>47.5</v>
      </c>
      <c r="J88" s="9">
        <v>106.4</v>
      </c>
      <c r="K88" s="14">
        <v>149.7</v>
      </c>
      <c r="L88" s="14">
        <v>176.3</v>
      </c>
      <c r="M88" s="14">
        <v>164.9</v>
      </c>
    </row>
    <row r="89" ht="14.25" customHeight="1">
      <c r="A89" s="15">
        <v>139.0</v>
      </c>
      <c r="B89" s="13" t="s">
        <v>17</v>
      </c>
      <c r="C89" s="9">
        <v>82.8</v>
      </c>
      <c r="D89" s="14">
        <v>49.4</v>
      </c>
      <c r="E89" s="14">
        <v>98.7</v>
      </c>
      <c r="F89" s="14">
        <v>78.6</v>
      </c>
      <c r="G89" s="14">
        <v>127.8</v>
      </c>
      <c r="H89" s="14">
        <v>81.0</v>
      </c>
      <c r="I89" s="14">
        <v>48.5</v>
      </c>
      <c r="J89" s="9">
        <v>109.3</v>
      </c>
      <c r="K89" s="14">
        <v>155.9</v>
      </c>
      <c r="L89" s="14">
        <v>179.6</v>
      </c>
      <c r="M89" s="14">
        <v>171.8</v>
      </c>
    </row>
    <row r="90" ht="14.25" customHeight="1">
      <c r="A90" s="15">
        <v>140.0</v>
      </c>
      <c r="B90" s="13" t="s">
        <v>17</v>
      </c>
      <c r="C90" s="9">
        <v>76.9</v>
      </c>
      <c r="D90" s="14">
        <v>46.7</v>
      </c>
      <c r="E90" s="14">
        <v>93.5</v>
      </c>
      <c r="F90" s="14">
        <v>74.0</v>
      </c>
      <c r="G90" s="14">
        <v>122.3</v>
      </c>
      <c r="H90" s="14">
        <v>80.5</v>
      </c>
      <c r="I90" s="14">
        <v>47.7</v>
      </c>
      <c r="J90" s="9">
        <v>105.8</v>
      </c>
      <c r="K90" s="14">
        <v>151.9</v>
      </c>
      <c r="L90" s="14">
        <v>175.3</v>
      </c>
      <c r="M90" s="14">
        <v>166.6</v>
      </c>
    </row>
    <row r="91" ht="14.25" customHeight="1">
      <c r="A91" s="15">
        <v>616.0</v>
      </c>
      <c r="B91" s="13" t="s">
        <v>18</v>
      </c>
      <c r="C91" s="9">
        <v>52.5</v>
      </c>
      <c r="D91" s="14">
        <v>35.6</v>
      </c>
      <c r="E91" s="14">
        <v>72.7</v>
      </c>
      <c r="F91" s="14">
        <v>73.4</v>
      </c>
      <c r="G91" s="14">
        <v>101.2</v>
      </c>
      <c r="H91" s="14">
        <v>74.3</v>
      </c>
      <c r="I91" s="14">
        <v>41.6</v>
      </c>
      <c r="J91" s="9">
        <v>69.7</v>
      </c>
      <c r="K91" s="14">
        <v>87.9</v>
      </c>
      <c r="L91" s="14">
        <v>98.1</v>
      </c>
      <c r="M91" s="14">
        <v>91.7</v>
      </c>
    </row>
    <row r="92" ht="14.25" customHeight="1">
      <c r="A92" s="15">
        <v>617.0</v>
      </c>
      <c r="B92" s="13" t="s">
        <v>18</v>
      </c>
      <c r="C92" s="9">
        <v>57.0</v>
      </c>
      <c r="D92" s="14">
        <v>39.9</v>
      </c>
      <c r="E92" s="14">
        <v>80.4</v>
      </c>
      <c r="F92" s="14">
        <v>83.8</v>
      </c>
      <c r="G92" s="14">
        <v>114.4</v>
      </c>
      <c r="H92" s="14">
        <v>80.8</v>
      </c>
      <c r="I92" s="14">
        <v>43.728386261249305</v>
      </c>
      <c r="J92" s="9">
        <v>78.55081371485406</v>
      </c>
      <c r="K92" s="14">
        <v>100.7</v>
      </c>
      <c r="L92" s="14">
        <v>111.1</v>
      </c>
      <c r="M92" s="14">
        <v>104.1</v>
      </c>
    </row>
    <row r="93" ht="14.25" customHeight="1">
      <c r="A93" s="15">
        <v>618.0</v>
      </c>
      <c r="B93" s="13" t="s">
        <v>18</v>
      </c>
      <c r="C93" s="9">
        <v>49.8</v>
      </c>
      <c r="D93" s="14">
        <v>36.4</v>
      </c>
      <c r="E93" s="14">
        <v>75.3</v>
      </c>
      <c r="F93" s="14">
        <v>73.7</v>
      </c>
      <c r="G93" s="14">
        <v>99.2</v>
      </c>
      <c r="H93" s="14">
        <v>74.5</v>
      </c>
      <c r="I93" s="14">
        <v>40.9</v>
      </c>
      <c r="J93" s="9">
        <v>68.1</v>
      </c>
      <c r="K93" s="14">
        <v>88.7</v>
      </c>
      <c r="L93" s="14">
        <v>100.31181240815802</v>
      </c>
      <c r="M93" s="14">
        <v>92.95279854141579</v>
      </c>
    </row>
    <row r="94" ht="14.25" customHeight="1">
      <c r="A94" s="15">
        <v>619.0</v>
      </c>
      <c r="B94" s="13" t="s">
        <v>18</v>
      </c>
      <c r="C94" s="9">
        <v>45.4</v>
      </c>
      <c r="D94" s="14">
        <v>33.9</v>
      </c>
      <c r="E94" s="14">
        <v>68.3</v>
      </c>
      <c r="F94" s="14">
        <v>69.5</v>
      </c>
      <c r="G94" s="14">
        <v>92.1</v>
      </c>
      <c r="H94" s="14">
        <v>68.5</v>
      </c>
      <c r="I94" s="14">
        <v>40.2</v>
      </c>
      <c r="J94" s="9">
        <v>66.1</v>
      </c>
      <c r="K94" s="14">
        <v>83.6</v>
      </c>
      <c r="L94" s="14">
        <v>92.6</v>
      </c>
      <c r="M94" s="14">
        <v>85.5</v>
      </c>
    </row>
    <row r="95" ht="14.25" customHeight="1">
      <c r="A95" s="15">
        <v>620.0</v>
      </c>
      <c r="B95" s="13" t="s">
        <v>18</v>
      </c>
      <c r="C95" s="9">
        <v>57.3</v>
      </c>
      <c r="D95" s="14">
        <v>40.4</v>
      </c>
      <c r="E95" s="14">
        <v>78.8</v>
      </c>
      <c r="F95" s="14">
        <v>83.1</v>
      </c>
      <c r="G95" s="14">
        <v>111.8</v>
      </c>
      <c r="H95" s="14">
        <v>82.9</v>
      </c>
      <c r="I95" s="14">
        <v>42.6</v>
      </c>
      <c r="J95" s="9">
        <v>73.5</v>
      </c>
      <c r="K95" s="14">
        <v>97.4</v>
      </c>
      <c r="L95" s="14">
        <v>109.3</v>
      </c>
      <c r="M95" s="14">
        <v>101.6</v>
      </c>
    </row>
    <row r="96" ht="14.25" customHeight="1">
      <c r="A96" s="15">
        <v>621.0</v>
      </c>
      <c r="B96" s="13" t="s">
        <v>18</v>
      </c>
      <c r="C96" s="9">
        <v>53.2</v>
      </c>
      <c r="D96" s="14">
        <v>39.9</v>
      </c>
      <c r="E96" s="14">
        <v>74.5</v>
      </c>
      <c r="F96" s="14">
        <v>81.2</v>
      </c>
      <c r="G96" s="14">
        <v>110.4</v>
      </c>
      <c r="H96" s="14">
        <v>80.7</v>
      </c>
      <c r="I96" s="14">
        <v>43.1</v>
      </c>
      <c r="J96" s="9">
        <v>73.9</v>
      </c>
      <c r="K96" s="14">
        <v>95.2</v>
      </c>
      <c r="L96" s="14">
        <v>107.1</v>
      </c>
      <c r="M96" s="14">
        <v>99.0</v>
      </c>
    </row>
    <row r="97" ht="14.25" customHeight="1">
      <c r="A97" s="15">
        <v>622.0</v>
      </c>
      <c r="B97" s="13" t="s">
        <v>18</v>
      </c>
      <c r="C97" s="9">
        <v>44.0</v>
      </c>
      <c r="D97" s="14">
        <v>35.2</v>
      </c>
      <c r="E97" s="14">
        <v>69.9</v>
      </c>
      <c r="F97" s="14">
        <v>72.8</v>
      </c>
      <c r="G97" s="14">
        <v>95.4</v>
      </c>
      <c r="H97" s="14">
        <v>71.8</v>
      </c>
      <c r="I97" s="14">
        <v>41.1</v>
      </c>
      <c r="J97" s="9">
        <v>69.7</v>
      </c>
      <c r="K97" s="14">
        <v>84.4</v>
      </c>
      <c r="L97" s="14">
        <v>94.6</v>
      </c>
      <c r="M97" s="14">
        <v>87.6</v>
      </c>
    </row>
    <row r="98" ht="14.25" customHeight="1">
      <c r="A98" s="15">
        <v>623.0</v>
      </c>
      <c r="B98" s="13" t="s">
        <v>18</v>
      </c>
      <c r="C98" s="9">
        <v>57.8</v>
      </c>
      <c r="D98" s="14">
        <v>41.9</v>
      </c>
      <c r="E98" s="14">
        <v>81.2</v>
      </c>
      <c r="F98" s="14">
        <v>81.9</v>
      </c>
      <c r="G98" s="14">
        <v>112.3</v>
      </c>
      <c r="H98" s="14">
        <v>84.5</v>
      </c>
      <c r="I98" s="14">
        <v>43.3</v>
      </c>
      <c r="J98" s="9">
        <v>78.2</v>
      </c>
      <c r="K98" s="14">
        <v>99.0</v>
      </c>
      <c r="L98" s="14">
        <v>110.3</v>
      </c>
      <c r="M98" s="14">
        <v>103.1</v>
      </c>
    </row>
    <row r="99" ht="14.25" customHeight="1">
      <c r="A99" s="15">
        <v>624.0</v>
      </c>
      <c r="B99" s="13" t="s">
        <v>18</v>
      </c>
      <c r="C99" s="9">
        <v>50.6</v>
      </c>
      <c r="D99" s="14">
        <v>36.4</v>
      </c>
      <c r="E99" s="14">
        <v>70.6</v>
      </c>
      <c r="F99" s="14">
        <v>74.7</v>
      </c>
      <c r="G99" s="14">
        <v>100.4</v>
      </c>
      <c r="H99" s="14">
        <v>74.0</v>
      </c>
      <c r="I99" s="14">
        <v>40.0</v>
      </c>
      <c r="J99" s="9">
        <v>66.6</v>
      </c>
      <c r="K99" s="14">
        <v>87.3</v>
      </c>
      <c r="L99" s="14">
        <v>99.2</v>
      </c>
      <c r="M99" s="14">
        <v>92.1</v>
      </c>
    </row>
    <row r="100" ht="14.25" customHeight="1">
      <c r="A100" s="15">
        <v>625.0</v>
      </c>
      <c r="B100" s="13" t="s">
        <v>18</v>
      </c>
      <c r="C100" s="9">
        <v>49.8</v>
      </c>
      <c r="D100" s="14">
        <v>36.0</v>
      </c>
      <c r="E100" s="14">
        <v>70.4</v>
      </c>
      <c r="F100" s="14">
        <v>74.2</v>
      </c>
      <c r="G100" s="14">
        <v>101.3</v>
      </c>
      <c r="H100" s="14">
        <v>75.8</v>
      </c>
      <c r="I100" s="14">
        <v>41.2</v>
      </c>
      <c r="J100" s="9">
        <v>70.4</v>
      </c>
      <c r="K100" s="14">
        <v>88.4</v>
      </c>
      <c r="L100" s="14">
        <v>99.4</v>
      </c>
      <c r="M100" s="14">
        <v>92.9</v>
      </c>
    </row>
    <row r="101" ht="14.25" customHeight="1">
      <c r="A101" s="15">
        <v>626.0</v>
      </c>
      <c r="B101" s="13" t="s">
        <v>18</v>
      </c>
      <c r="C101" s="9">
        <v>55.4</v>
      </c>
      <c r="D101" s="14">
        <v>42.6</v>
      </c>
      <c r="E101" s="14">
        <v>82.5</v>
      </c>
      <c r="F101" s="14">
        <v>84.5</v>
      </c>
      <c r="G101" s="14">
        <v>112.9</v>
      </c>
      <c r="H101" s="14">
        <v>81.4</v>
      </c>
      <c r="I101" s="14">
        <v>44.5</v>
      </c>
      <c r="J101" s="9">
        <v>75.3</v>
      </c>
      <c r="K101" s="14">
        <v>100.0</v>
      </c>
      <c r="L101" s="14">
        <v>111.1</v>
      </c>
      <c r="M101" s="14">
        <v>103.6</v>
      </c>
    </row>
    <row r="102" ht="14.25" customHeight="1">
      <c r="A102" s="15">
        <v>627.0</v>
      </c>
      <c r="B102" s="13" t="s">
        <v>18</v>
      </c>
      <c r="C102" s="9">
        <v>56.9</v>
      </c>
      <c r="D102" s="14">
        <v>39.9</v>
      </c>
      <c r="E102" s="14">
        <v>83.6</v>
      </c>
      <c r="F102" s="14">
        <v>86.9</v>
      </c>
      <c r="G102" s="14">
        <v>113.8</v>
      </c>
      <c r="H102" s="14">
        <v>82.0</v>
      </c>
      <c r="I102" s="14">
        <v>42.9</v>
      </c>
      <c r="J102" s="9">
        <v>73.4</v>
      </c>
      <c r="K102" s="14">
        <v>99.4</v>
      </c>
      <c r="L102" s="14">
        <v>110.2</v>
      </c>
      <c r="M102" s="14">
        <v>102.6</v>
      </c>
    </row>
    <row r="103" ht="14.25" customHeight="1">
      <c r="A103" s="15">
        <v>628.0</v>
      </c>
      <c r="B103" s="13" t="s">
        <v>18</v>
      </c>
      <c r="C103" s="9">
        <v>52.9</v>
      </c>
      <c r="D103" s="14">
        <v>37.4</v>
      </c>
      <c r="E103" s="14">
        <v>77.12436387737941</v>
      </c>
      <c r="F103" s="14">
        <v>73.5</v>
      </c>
      <c r="G103" s="14">
        <v>98.2</v>
      </c>
      <c r="H103" s="14">
        <v>73.2</v>
      </c>
      <c r="I103" s="14">
        <v>42.5</v>
      </c>
      <c r="J103" s="9">
        <v>70.0</v>
      </c>
      <c r="K103" s="14">
        <v>87.8</v>
      </c>
      <c r="L103" s="14">
        <v>96.6</v>
      </c>
      <c r="M103" s="14">
        <v>90.9</v>
      </c>
    </row>
    <row r="104" ht="14.25" customHeight="1">
      <c r="A104" s="15">
        <v>629.0</v>
      </c>
      <c r="B104" s="13" t="s">
        <v>18</v>
      </c>
      <c r="C104" s="9">
        <v>58.5</v>
      </c>
      <c r="D104" s="14">
        <v>38.4</v>
      </c>
      <c r="E104" s="14">
        <v>80.5</v>
      </c>
      <c r="F104" s="14">
        <v>81.2</v>
      </c>
      <c r="G104" s="14">
        <v>111.6</v>
      </c>
      <c r="H104" s="14">
        <v>81.5</v>
      </c>
      <c r="I104" s="14">
        <v>43.0</v>
      </c>
      <c r="J104" s="9">
        <v>74.0</v>
      </c>
      <c r="K104" s="14">
        <v>96.2</v>
      </c>
      <c r="L104" s="14">
        <v>109.1</v>
      </c>
      <c r="M104" s="14">
        <v>101.7</v>
      </c>
    </row>
    <row r="105" ht="14.25" customHeight="1">
      <c r="A105" s="15">
        <v>630.0</v>
      </c>
      <c r="B105" s="13" t="s">
        <v>18</v>
      </c>
      <c r="C105" s="9">
        <v>50.8</v>
      </c>
      <c r="D105" s="14">
        <v>36.1</v>
      </c>
      <c r="E105" s="14">
        <v>69.2</v>
      </c>
      <c r="F105" s="14">
        <v>71.5</v>
      </c>
      <c r="G105" s="14">
        <v>96.5</v>
      </c>
      <c r="H105" s="14">
        <v>72.1163616189116</v>
      </c>
      <c r="I105" s="14">
        <v>40.6</v>
      </c>
      <c r="J105" s="9">
        <v>65.9</v>
      </c>
      <c r="K105" s="14">
        <v>86.4</v>
      </c>
      <c r="L105" s="14">
        <v>95.2</v>
      </c>
      <c r="M105" s="14">
        <v>88.9</v>
      </c>
    </row>
    <row r="106" ht="14.25" customHeight="1">
      <c r="A106" s="15">
        <v>631.0</v>
      </c>
      <c r="B106" s="13" t="s">
        <v>18</v>
      </c>
      <c r="C106" s="9">
        <v>59.4</v>
      </c>
      <c r="D106" s="14">
        <v>39.0</v>
      </c>
      <c r="E106" s="14">
        <v>78.7</v>
      </c>
      <c r="F106" s="14">
        <v>83.3</v>
      </c>
      <c r="G106" s="14">
        <v>114.4</v>
      </c>
      <c r="H106" s="14">
        <v>81.4</v>
      </c>
      <c r="I106" s="14">
        <v>42.2</v>
      </c>
      <c r="J106" s="9">
        <v>77.4</v>
      </c>
      <c r="K106" s="14">
        <v>98.6</v>
      </c>
      <c r="L106" s="14">
        <v>111.2</v>
      </c>
      <c r="M106" s="14">
        <v>103.8</v>
      </c>
    </row>
    <row r="107" ht="14.25" customHeight="1">
      <c r="A107" s="15">
        <v>632.0</v>
      </c>
      <c r="B107" s="13" t="s">
        <v>18</v>
      </c>
      <c r="C107" s="9">
        <v>58.6</v>
      </c>
      <c r="D107" s="14">
        <v>39.1</v>
      </c>
      <c r="E107" s="14">
        <v>80.3</v>
      </c>
      <c r="F107" s="14">
        <v>84.3</v>
      </c>
      <c r="G107" s="14">
        <v>113.2</v>
      </c>
      <c r="H107" s="14">
        <v>81.6711309037963</v>
      </c>
      <c r="I107" s="14">
        <v>42.944898380497456</v>
      </c>
      <c r="J107" s="9">
        <v>75.9651572240172</v>
      </c>
      <c r="K107" s="14">
        <v>98.9</v>
      </c>
      <c r="L107" s="14">
        <v>108.9</v>
      </c>
      <c r="M107" s="14">
        <v>102.0</v>
      </c>
    </row>
    <row r="108" ht="14.25" customHeight="1">
      <c r="A108" s="15">
        <v>633.0</v>
      </c>
      <c r="B108" s="13" t="s">
        <v>18</v>
      </c>
      <c r="C108" s="9">
        <v>50.6</v>
      </c>
      <c r="D108" s="14">
        <v>37.8</v>
      </c>
      <c r="E108" s="14">
        <v>71.4</v>
      </c>
      <c r="F108" s="14">
        <v>73.7</v>
      </c>
      <c r="G108" s="14">
        <v>99.0</v>
      </c>
      <c r="H108" s="14">
        <v>73.6</v>
      </c>
      <c r="I108" s="14">
        <v>41.1</v>
      </c>
      <c r="J108" s="9">
        <v>68.1</v>
      </c>
      <c r="K108" s="14">
        <v>87.2</v>
      </c>
      <c r="L108" s="14">
        <v>98.5</v>
      </c>
      <c r="M108" s="14">
        <v>91.2</v>
      </c>
    </row>
    <row r="109" ht="14.25" customHeight="1">
      <c r="A109" s="15">
        <v>634.0</v>
      </c>
      <c r="B109" s="13" t="s">
        <v>18</v>
      </c>
      <c r="C109" s="9">
        <v>52.2</v>
      </c>
      <c r="D109" s="14">
        <v>37.1</v>
      </c>
      <c r="E109" s="14">
        <v>70.9</v>
      </c>
      <c r="F109" s="14">
        <v>71.4</v>
      </c>
      <c r="G109" s="14">
        <v>98.0</v>
      </c>
      <c r="H109" s="14">
        <v>72.9</v>
      </c>
      <c r="I109" s="14">
        <v>41.6</v>
      </c>
      <c r="J109" s="9">
        <v>68.5008235487644</v>
      </c>
      <c r="K109" s="14">
        <v>87.6</v>
      </c>
      <c r="L109" s="14">
        <v>97.6</v>
      </c>
      <c r="M109" s="14">
        <v>90.5</v>
      </c>
    </row>
    <row r="110" ht="14.25" customHeight="1">
      <c r="A110" s="15">
        <v>635.0</v>
      </c>
      <c r="B110" s="13" t="s">
        <v>18</v>
      </c>
      <c r="C110" s="9">
        <v>56.7</v>
      </c>
      <c r="D110" s="14">
        <v>40.0</v>
      </c>
      <c r="E110" s="14">
        <v>78.55860260623177</v>
      </c>
      <c r="F110" s="14">
        <v>81.2</v>
      </c>
      <c r="G110" s="14">
        <v>109.2</v>
      </c>
      <c r="H110" s="14">
        <v>78.6</v>
      </c>
      <c r="I110" s="14">
        <v>42.2</v>
      </c>
      <c r="J110" s="9">
        <v>75.3</v>
      </c>
      <c r="K110" s="14">
        <v>96.5</v>
      </c>
      <c r="L110" s="14">
        <v>108.3</v>
      </c>
      <c r="M110" s="14">
        <v>99.8</v>
      </c>
    </row>
    <row r="111" ht="14.25" customHeight="1">
      <c r="A111" s="15">
        <v>636.0</v>
      </c>
      <c r="B111" s="13" t="s">
        <v>18</v>
      </c>
      <c r="C111" s="9">
        <v>53.2</v>
      </c>
      <c r="D111" s="14">
        <v>39.9</v>
      </c>
      <c r="E111" s="14">
        <v>74.3</v>
      </c>
      <c r="F111" s="14">
        <v>80.9</v>
      </c>
      <c r="G111" s="14">
        <v>110.7</v>
      </c>
      <c r="H111" s="14">
        <v>80.8</v>
      </c>
      <c r="I111" s="14">
        <v>43.2</v>
      </c>
      <c r="J111" s="9">
        <v>74.2</v>
      </c>
      <c r="K111" s="14">
        <v>96.1</v>
      </c>
      <c r="L111" s="14">
        <v>107.3</v>
      </c>
      <c r="M111" s="14">
        <v>98.8</v>
      </c>
    </row>
    <row r="112" ht="14.25" customHeight="1">
      <c r="A112" s="15">
        <v>637.0</v>
      </c>
      <c r="B112" s="13" t="s">
        <v>18</v>
      </c>
      <c r="C112" s="9">
        <v>48.0</v>
      </c>
      <c r="D112" s="14">
        <v>34.7</v>
      </c>
      <c r="E112" s="14">
        <v>70.4</v>
      </c>
      <c r="F112" s="14">
        <v>70.1</v>
      </c>
      <c r="G112" s="14">
        <v>95.3</v>
      </c>
      <c r="H112" s="14">
        <v>70.0</v>
      </c>
      <c r="I112" s="14">
        <v>40.7</v>
      </c>
      <c r="J112" s="9">
        <v>71.3</v>
      </c>
      <c r="K112" s="14">
        <v>82.7</v>
      </c>
      <c r="L112" s="14">
        <v>94.6</v>
      </c>
      <c r="M112" s="14">
        <v>86.9</v>
      </c>
    </row>
    <row r="113" ht="14.25" customHeight="1">
      <c r="A113" s="15">
        <v>638.0</v>
      </c>
      <c r="B113" s="13" t="s">
        <v>18</v>
      </c>
      <c r="C113" s="9">
        <v>57.4</v>
      </c>
      <c r="D113" s="14">
        <v>40.8</v>
      </c>
      <c r="E113" s="14">
        <v>77.4</v>
      </c>
      <c r="F113" s="14">
        <v>83.2</v>
      </c>
      <c r="G113" s="14">
        <v>111.2</v>
      </c>
      <c r="H113" s="14">
        <v>81.6</v>
      </c>
      <c r="I113" s="14">
        <v>42.3</v>
      </c>
      <c r="J113" s="9">
        <v>68.6</v>
      </c>
      <c r="K113" s="14">
        <v>97.0</v>
      </c>
      <c r="L113" s="14">
        <v>109.7</v>
      </c>
      <c r="M113" s="14">
        <v>101.5</v>
      </c>
    </row>
    <row r="114" ht="14.25" customHeight="1">
      <c r="A114" s="15">
        <v>639.0</v>
      </c>
      <c r="B114" s="13" t="s">
        <v>18</v>
      </c>
      <c r="C114" s="9">
        <v>47.0</v>
      </c>
      <c r="D114" s="14">
        <v>34.1</v>
      </c>
      <c r="E114" s="14">
        <v>69.6</v>
      </c>
      <c r="F114" s="14">
        <v>71.0</v>
      </c>
      <c r="G114" s="14">
        <v>94.0</v>
      </c>
      <c r="H114" s="14">
        <v>71.2</v>
      </c>
      <c r="I114" s="14">
        <v>40.6</v>
      </c>
      <c r="J114" s="9">
        <v>63.3</v>
      </c>
      <c r="K114" s="14">
        <v>84.3</v>
      </c>
      <c r="L114" s="14">
        <v>93.9</v>
      </c>
      <c r="M114" s="14">
        <v>86.6</v>
      </c>
    </row>
    <row r="115" ht="14.25" customHeight="1">
      <c r="A115" s="15">
        <v>640.0</v>
      </c>
      <c r="B115" s="13" t="s">
        <v>18</v>
      </c>
      <c r="C115" s="9">
        <v>59.9</v>
      </c>
      <c r="D115" s="14">
        <v>40.8</v>
      </c>
      <c r="E115" s="14">
        <v>84.6</v>
      </c>
      <c r="F115" s="14">
        <v>86.0</v>
      </c>
      <c r="G115" s="14">
        <v>116.32303072562756</v>
      </c>
      <c r="H115" s="14">
        <v>84.05078073972086</v>
      </c>
      <c r="I115" s="14">
        <v>43.74901981443336</v>
      </c>
      <c r="J115" s="9">
        <v>78.1341559456813</v>
      </c>
      <c r="K115" s="14">
        <v>101.73573303401994</v>
      </c>
      <c r="L115" s="14">
        <v>113.3425237992377</v>
      </c>
      <c r="M115" s="14">
        <v>105.83802592781213</v>
      </c>
    </row>
    <row r="116" ht="14.25" customHeight="1">
      <c r="A116" s="15">
        <v>641.0</v>
      </c>
      <c r="B116" s="13" t="s">
        <v>18</v>
      </c>
      <c r="C116" s="9">
        <v>49.8</v>
      </c>
      <c r="D116" s="14">
        <v>33.5</v>
      </c>
      <c r="E116" s="14">
        <v>68.0</v>
      </c>
      <c r="F116" s="14">
        <v>71.9</v>
      </c>
      <c r="G116" s="14">
        <v>94.7</v>
      </c>
      <c r="H116" s="14">
        <v>69.1</v>
      </c>
      <c r="I116" s="14">
        <v>39.5</v>
      </c>
      <c r="J116" s="9">
        <v>65.9</v>
      </c>
      <c r="K116" s="14">
        <v>83.6</v>
      </c>
      <c r="L116" s="14">
        <v>93.3</v>
      </c>
      <c r="M116" s="14">
        <v>86.4</v>
      </c>
    </row>
    <row r="117" ht="14.25" customHeight="1">
      <c r="A117" s="15">
        <v>642.0</v>
      </c>
      <c r="B117" s="13" t="s">
        <v>18</v>
      </c>
      <c r="C117" s="9">
        <v>58.1</v>
      </c>
      <c r="D117" s="14">
        <v>38.6</v>
      </c>
      <c r="E117" s="14">
        <v>78.2</v>
      </c>
      <c r="F117" s="14">
        <v>82.8</v>
      </c>
      <c r="G117" s="14">
        <v>112.28775267432896</v>
      </c>
      <c r="H117" s="14">
        <v>81.18495838756789</v>
      </c>
      <c r="I117" s="14">
        <v>42.30452770834562</v>
      </c>
      <c r="J117" s="9">
        <v>74.82994213966246</v>
      </c>
      <c r="K117" s="14">
        <v>97.26962591706582</v>
      </c>
      <c r="L117" s="14">
        <v>108.82679067504591</v>
      </c>
      <c r="M117" s="14">
        <v>101.5075223143969</v>
      </c>
    </row>
    <row r="118" ht="14.25" customHeight="1">
      <c r="A118" s="15">
        <v>643.0</v>
      </c>
      <c r="B118" s="13" t="s">
        <v>18</v>
      </c>
      <c r="C118" s="9">
        <v>51.4</v>
      </c>
      <c r="D118" s="14">
        <v>35.4</v>
      </c>
      <c r="E118" s="14">
        <v>71.4</v>
      </c>
      <c r="F118" s="14">
        <v>73.1</v>
      </c>
      <c r="G118" s="14">
        <v>98.7</v>
      </c>
      <c r="H118" s="14">
        <v>73.7</v>
      </c>
      <c r="I118" s="14">
        <v>40.6</v>
      </c>
      <c r="J118" s="9">
        <v>67.7</v>
      </c>
      <c r="K118" s="14">
        <v>86.5</v>
      </c>
      <c r="L118" s="14">
        <v>98.3</v>
      </c>
      <c r="M118" s="14">
        <v>91.4</v>
      </c>
    </row>
    <row r="119" ht="14.25" customHeight="1">
      <c r="A119" s="15">
        <v>644.0</v>
      </c>
      <c r="B119" s="13" t="s">
        <v>18</v>
      </c>
      <c r="C119" s="9">
        <v>53.3</v>
      </c>
      <c r="D119" s="14">
        <v>38.4</v>
      </c>
      <c r="E119" s="14">
        <v>77.4</v>
      </c>
      <c r="F119" s="14">
        <v>84.9</v>
      </c>
      <c r="G119" s="14">
        <v>114.2</v>
      </c>
      <c r="H119" s="14">
        <v>83.0</v>
      </c>
      <c r="I119" s="14">
        <v>42.7</v>
      </c>
      <c r="J119" s="9">
        <v>76.9</v>
      </c>
      <c r="K119" s="14">
        <v>99.2</v>
      </c>
      <c r="L119" s="14">
        <v>111.7</v>
      </c>
      <c r="M119" s="14">
        <v>104.0</v>
      </c>
    </row>
    <row r="120" ht="14.25" customHeight="1">
      <c r="A120" s="15">
        <v>645.0</v>
      </c>
      <c r="B120" s="13" t="s">
        <v>18</v>
      </c>
      <c r="C120" s="9">
        <v>53.5</v>
      </c>
      <c r="D120" s="14">
        <v>37.9</v>
      </c>
      <c r="E120" s="14">
        <v>78.1</v>
      </c>
      <c r="F120" s="14">
        <v>80.4</v>
      </c>
      <c r="G120" s="14">
        <v>109.4</v>
      </c>
      <c r="H120" s="14">
        <v>79.9</v>
      </c>
      <c r="I120" s="14">
        <v>42.5</v>
      </c>
      <c r="J120" s="9">
        <v>76.7</v>
      </c>
      <c r="K120" s="14">
        <v>94.6</v>
      </c>
      <c r="L120" s="14">
        <v>106.2</v>
      </c>
      <c r="M120" s="14">
        <v>98.8</v>
      </c>
    </row>
    <row r="121" ht="14.25" customHeight="1">
      <c r="A121" s="15">
        <v>646.0</v>
      </c>
      <c r="B121" s="13" t="s">
        <v>18</v>
      </c>
      <c r="C121" s="9">
        <v>58.6</v>
      </c>
      <c r="D121" s="14">
        <v>38.4</v>
      </c>
      <c r="E121" s="14">
        <v>80.68696594734956</v>
      </c>
      <c r="F121" s="14">
        <v>81.6</v>
      </c>
      <c r="G121" s="14">
        <v>110.5</v>
      </c>
      <c r="H121" s="14">
        <v>81.5</v>
      </c>
      <c r="I121" s="14">
        <v>42.7</v>
      </c>
      <c r="J121" s="9">
        <v>78.1</v>
      </c>
      <c r="K121" s="14">
        <v>96.1</v>
      </c>
      <c r="L121" s="14">
        <v>106.4</v>
      </c>
      <c r="M121" s="14">
        <v>100.0</v>
      </c>
    </row>
    <row r="122" ht="14.25" customHeight="1">
      <c r="A122" s="15">
        <v>647.0</v>
      </c>
      <c r="B122" s="13" t="s">
        <v>18</v>
      </c>
      <c r="C122" s="9">
        <v>45.9</v>
      </c>
      <c r="D122" s="14">
        <v>34.1</v>
      </c>
      <c r="E122" s="14">
        <v>72.2</v>
      </c>
      <c r="F122" s="14">
        <v>72.0</v>
      </c>
      <c r="G122" s="14">
        <v>97.4</v>
      </c>
      <c r="H122" s="14">
        <v>72.0</v>
      </c>
      <c r="I122" s="14">
        <v>41.1</v>
      </c>
      <c r="J122" s="9">
        <v>67.9</v>
      </c>
      <c r="K122" s="14">
        <v>84.9</v>
      </c>
      <c r="L122" s="14">
        <v>96.9</v>
      </c>
      <c r="M122" s="14">
        <v>90.2</v>
      </c>
    </row>
    <row r="123" ht="14.25" customHeight="1">
      <c r="A123" s="15">
        <v>648.0</v>
      </c>
      <c r="B123" s="13" t="s">
        <v>18</v>
      </c>
      <c r="C123" s="9">
        <v>56.8</v>
      </c>
      <c r="D123" s="14">
        <v>40.2</v>
      </c>
      <c r="E123" s="14">
        <v>80.5</v>
      </c>
      <c r="F123" s="14">
        <v>80.3</v>
      </c>
      <c r="G123" s="14">
        <v>110.1</v>
      </c>
      <c r="H123" s="14">
        <v>79.9</v>
      </c>
      <c r="I123" s="14">
        <v>43.21198252597065</v>
      </c>
      <c r="J123" s="9">
        <v>75.5735983624877</v>
      </c>
      <c r="K123" s="14">
        <v>97.5</v>
      </c>
      <c r="L123" s="14">
        <v>109.5</v>
      </c>
      <c r="M123" s="14">
        <v>101.2</v>
      </c>
    </row>
    <row r="124" ht="14.25" customHeight="1">
      <c r="A124" s="15">
        <v>649.0</v>
      </c>
      <c r="B124" s="13" t="s">
        <v>18</v>
      </c>
      <c r="C124" s="9">
        <v>51.3</v>
      </c>
      <c r="D124" s="14">
        <v>37.9</v>
      </c>
      <c r="E124" s="14">
        <v>67.38387785772272</v>
      </c>
      <c r="F124" s="14">
        <v>71.8</v>
      </c>
      <c r="G124" s="14">
        <v>99.7</v>
      </c>
      <c r="H124" s="14">
        <v>74.5</v>
      </c>
      <c r="I124" s="14">
        <v>40.9</v>
      </c>
      <c r="J124" s="9">
        <v>69.2</v>
      </c>
      <c r="K124" s="14">
        <v>84.6</v>
      </c>
      <c r="L124" s="14">
        <v>96.0</v>
      </c>
      <c r="M124" s="14">
        <v>90.1</v>
      </c>
    </row>
    <row r="125" ht="14.25" customHeight="1">
      <c r="A125" s="15">
        <v>802.0</v>
      </c>
      <c r="B125" s="13" t="s">
        <v>52</v>
      </c>
      <c r="C125" s="9">
        <v>143.4</v>
      </c>
      <c r="D125" s="14">
        <v>75.8</v>
      </c>
      <c r="E125" s="14">
        <v>168.567929071689</v>
      </c>
      <c r="F125" s="14">
        <v>140.8</v>
      </c>
      <c r="G125" s="14">
        <v>198.66666366625586</v>
      </c>
      <c r="H125" s="14">
        <v>116.0</v>
      </c>
      <c r="I125" s="14">
        <v>57.4</v>
      </c>
      <c r="J125" s="9">
        <v>139.2</v>
      </c>
      <c r="K125" s="14">
        <v>266.4</v>
      </c>
      <c r="L125" s="14">
        <v>336.0</v>
      </c>
      <c r="M125" s="14">
        <v>321.0</v>
      </c>
    </row>
    <row r="126" ht="14.25" customHeight="1">
      <c r="A126" s="15">
        <v>803.0</v>
      </c>
      <c r="B126" s="13" t="s">
        <v>52</v>
      </c>
      <c r="C126" s="9">
        <v>139.784765255097</v>
      </c>
      <c r="D126" s="14">
        <v>75.28423032663557</v>
      </c>
      <c r="E126" s="14">
        <v>164.6</v>
      </c>
      <c r="F126" s="14">
        <v>139.4</v>
      </c>
      <c r="G126" s="14">
        <v>199.2859065777789</v>
      </c>
      <c r="H126" s="14">
        <v>114.81460424508049</v>
      </c>
      <c r="I126" s="14">
        <v>57.048022477248225</v>
      </c>
      <c r="J126" s="9">
        <v>139.0968400261708</v>
      </c>
      <c r="K126" s="14">
        <v>269.1</v>
      </c>
      <c r="L126" s="14">
        <v>339.75837028573386</v>
      </c>
      <c r="M126" s="14">
        <v>324.8369139151727</v>
      </c>
    </row>
    <row r="127" ht="14.25" customHeight="1">
      <c r="A127" s="15">
        <v>804.0</v>
      </c>
      <c r="B127" s="13" t="s">
        <v>52</v>
      </c>
      <c r="C127" s="9">
        <v>141.6</v>
      </c>
      <c r="D127" s="14">
        <v>74.5</v>
      </c>
      <c r="E127" s="14">
        <v>168.6</v>
      </c>
      <c r="F127" s="14">
        <v>135.8</v>
      </c>
      <c r="G127" s="14">
        <v>195.5</v>
      </c>
      <c r="H127" s="14">
        <v>110.1</v>
      </c>
      <c r="I127" s="14">
        <v>56.6</v>
      </c>
      <c r="J127" s="9">
        <v>142.0</v>
      </c>
      <c r="K127" s="14">
        <v>268.2</v>
      </c>
      <c r="L127" s="14">
        <v>336.0</v>
      </c>
      <c r="M127" s="14">
        <v>318.0</v>
      </c>
    </row>
    <row r="128" ht="14.25" customHeight="1">
      <c r="A128" s="15">
        <v>805.0</v>
      </c>
      <c r="B128" s="13" t="s">
        <v>52</v>
      </c>
      <c r="C128" s="9">
        <v>140.0</v>
      </c>
      <c r="D128" s="14">
        <v>72.3</v>
      </c>
      <c r="E128" s="14">
        <v>170.98437108365195</v>
      </c>
      <c r="F128" s="14">
        <v>138.7</v>
      </c>
      <c r="G128" s="14">
        <v>188.8</v>
      </c>
      <c r="H128" s="14">
        <v>111.0</v>
      </c>
      <c r="I128" s="14">
        <v>58.4554058135118</v>
      </c>
      <c r="J128" s="9">
        <v>137.8752464968854</v>
      </c>
      <c r="K128" s="14">
        <v>262.0416070640308</v>
      </c>
      <c r="L128" s="14">
        <v>324.42298821431075</v>
      </c>
      <c r="M128" s="14">
        <v>310.0270240850203</v>
      </c>
    </row>
    <row r="129" ht="14.25" customHeight="1">
      <c r="A129" s="15">
        <v>806.0</v>
      </c>
      <c r="B129" s="13" t="s">
        <v>52</v>
      </c>
      <c r="C129" s="9">
        <v>154.1</v>
      </c>
      <c r="D129" s="14">
        <v>77.7</v>
      </c>
      <c r="E129" s="14">
        <v>167.2487586867203</v>
      </c>
      <c r="F129" s="14">
        <v>134.1</v>
      </c>
      <c r="G129" s="14">
        <v>196.0</v>
      </c>
      <c r="H129" s="14">
        <v>112.5</v>
      </c>
      <c r="I129" s="14">
        <v>56.0</v>
      </c>
      <c r="J129" s="9">
        <v>138.3</v>
      </c>
      <c r="K129" s="14">
        <v>272.3</v>
      </c>
      <c r="L129" s="14">
        <v>340.0</v>
      </c>
      <c r="M129" s="14">
        <v>324.0</v>
      </c>
    </row>
    <row r="130" ht="14.25" customHeight="1">
      <c r="A130" s="15">
        <v>807.0</v>
      </c>
      <c r="B130" s="13" t="s">
        <v>52</v>
      </c>
      <c r="C130" s="9">
        <v>128.0</v>
      </c>
      <c r="D130" s="14">
        <v>74.0</v>
      </c>
      <c r="E130" s="14">
        <v>163.5</v>
      </c>
      <c r="F130" s="14">
        <v>136.0064984921408</v>
      </c>
      <c r="G130" s="14">
        <v>191.7</v>
      </c>
      <c r="H130" s="14">
        <v>107.51777244858438</v>
      </c>
      <c r="I130" s="14">
        <v>54.0</v>
      </c>
      <c r="J130" s="9">
        <v>135.0</v>
      </c>
      <c r="K130" s="14">
        <v>254.58631776891872</v>
      </c>
      <c r="L130" s="14">
        <v>320.0</v>
      </c>
      <c r="M130" s="14">
        <v>301.0</v>
      </c>
    </row>
    <row r="131" ht="14.25" customHeight="1">
      <c r="A131" s="15">
        <v>808.0</v>
      </c>
      <c r="B131" s="13" t="s">
        <v>52</v>
      </c>
      <c r="C131" s="9">
        <v>133.8</v>
      </c>
      <c r="D131" s="14">
        <v>76.2</v>
      </c>
      <c r="E131" s="14">
        <v>175.6</v>
      </c>
      <c r="F131" s="14">
        <v>136.2</v>
      </c>
      <c r="G131" s="14">
        <v>197.1</v>
      </c>
      <c r="H131" s="14">
        <v>107.6</v>
      </c>
      <c r="I131" s="14">
        <v>52.2</v>
      </c>
      <c r="J131" s="9">
        <v>139.4</v>
      </c>
      <c r="K131" s="14">
        <v>263.9</v>
      </c>
      <c r="L131" s="14">
        <v>330.0</v>
      </c>
      <c r="M131" s="14">
        <v>312.0</v>
      </c>
    </row>
    <row r="132" ht="14.25" customHeight="1">
      <c r="A132" s="15">
        <v>809.0</v>
      </c>
      <c r="B132" s="13" t="s">
        <v>52</v>
      </c>
      <c r="C132" s="9">
        <v>141.0</v>
      </c>
      <c r="D132" s="14">
        <v>81.5</v>
      </c>
      <c r="E132" s="14">
        <v>172.3</v>
      </c>
      <c r="F132" s="14">
        <v>138.2</v>
      </c>
      <c r="G132" s="14">
        <v>198.05262663610853</v>
      </c>
      <c r="H132" s="14">
        <v>113.830700259093</v>
      </c>
      <c r="I132" s="14">
        <v>56.095793101561206</v>
      </c>
      <c r="J132" s="9">
        <v>140.02971750497443</v>
      </c>
      <c r="K132" s="14">
        <v>266.10225315457035</v>
      </c>
      <c r="L132" s="14">
        <v>339.66197352732087</v>
      </c>
      <c r="M132" s="14">
        <v>324.6331732833758</v>
      </c>
    </row>
    <row r="133" ht="14.25" customHeight="1">
      <c r="A133" s="15">
        <v>810.0</v>
      </c>
      <c r="B133" s="13" t="s">
        <v>52</v>
      </c>
      <c r="C133" s="9">
        <v>134.9</v>
      </c>
      <c r="D133" s="14">
        <v>71.6134716725232</v>
      </c>
      <c r="E133" s="14">
        <v>149.6</v>
      </c>
      <c r="F133" s="14">
        <v>130.3</v>
      </c>
      <c r="G133" s="14">
        <v>192.3</v>
      </c>
      <c r="H133" s="14">
        <v>107.1</v>
      </c>
      <c r="I133" s="14">
        <v>55.3</v>
      </c>
      <c r="J133" s="9">
        <v>137.2</v>
      </c>
      <c r="K133" s="14">
        <v>247.5</v>
      </c>
      <c r="L133" s="14">
        <v>322.0</v>
      </c>
      <c r="M133" s="14">
        <v>310.0</v>
      </c>
    </row>
    <row r="134" ht="14.25" customHeight="1">
      <c r="A134" s="15">
        <v>811.0</v>
      </c>
      <c r="B134" s="13" t="s">
        <v>52</v>
      </c>
      <c r="C134" s="9">
        <v>142.5</v>
      </c>
      <c r="D134" s="14">
        <v>74.6</v>
      </c>
      <c r="E134" s="14">
        <v>173.32955901343192</v>
      </c>
      <c r="F134" s="14">
        <v>133.4</v>
      </c>
      <c r="G134" s="14">
        <v>192.5</v>
      </c>
      <c r="H134" s="14">
        <v>104.8</v>
      </c>
      <c r="I134" s="14">
        <v>53.4</v>
      </c>
      <c r="J134" s="9">
        <v>140.5</v>
      </c>
      <c r="K134" s="14">
        <v>261.8</v>
      </c>
      <c r="L134" s="14">
        <v>326.0</v>
      </c>
      <c r="M134" s="14">
        <v>311.0</v>
      </c>
    </row>
    <row r="135" ht="14.25" customHeight="1">
      <c r="A135" s="15">
        <v>812.0</v>
      </c>
      <c r="B135" s="13" t="s">
        <v>52</v>
      </c>
      <c r="C135" s="9">
        <v>142.00448791976197</v>
      </c>
      <c r="D135" s="14">
        <v>75.31152315960406</v>
      </c>
      <c r="E135" s="14">
        <v>170.98623324608315</v>
      </c>
      <c r="F135" s="14">
        <v>137.8308112066438</v>
      </c>
      <c r="G135" s="14">
        <v>197.00385059364734</v>
      </c>
      <c r="H135" s="14">
        <v>112.85977017780532</v>
      </c>
      <c r="I135" s="14">
        <v>59.6</v>
      </c>
      <c r="J135" s="9">
        <v>142.5</v>
      </c>
      <c r="K135" s="14">
        <v>264.00170377848764</v>
      </c>
      <c r="L135" s="14">
        <v>333.1261397088128</v>
      </c>
      <c r="M135" s="14">
        <v>319.850955681826</v>
      </c>
    </row>
    <row r="136" ht="14.25" customHeight="1">
      <c r="A136" s="15">
        <v>813.0</v>
      </c>
      <c r="B136" s="13" t="s">
        <v>52</v>
      </c>
      <c r="C136" s="9">
        <v>140.83178416079147</v>
      </c>
      <c r="D136" s="14">
        <v>75.19548590043945</v>
      </c>
      <c r="E136" s="14">
        <v>169.1831648171556</v>
      </c>
      <c r="F136" s="14">
        <v>136.91638872052127</v>
      </c>
      <c r="G136" s="14">
        <v>196.02440289082213</v>
      </c>
      <c r="H136" s="14">
        <v>111.5593885012005</v>
      </c>
      <c r="I136" s="14">
        <v>57.6</v>
      </c>
      <c r="J136" s="9">
        <v>141.0</v>
      </c>
      <c r="K136" s="14">
        <v>262.5564202874614</v>
      </c>
      <c r="L136" s="14">
        <v>332.1053742676175</v>
      </c>
      <c r="M136" s="14">
        <v>317.6754504761174</v>
      </c>
    </row>
    <row r="137" ht="14.25" customHeight="1">
      <c r="A137" s="15">
        <v>814.0</v>
      </c>
      <c r="B137" s="13" t="s">
        <v>52</v>
      </c>
      <c r="C137" s="9">
        <v>134.2</v>
      </c>
      <c r="D137" s="14">
        <v>73.5</v>
      </c>
      <c r="E137" s="14">
        <v>158.3</v>
      </c>
      <c r="F137" s="14">
        <v>134.8</v>
      </c>
      <c r="G137" s="14">
        <v>187.2</v>
      </c>
      <c r="H137" s="14">
        <v>106.3</v>
      </c>
      <c r="I137" s="14">
        <v>56.4</v>
      </c>
      <c r="J137" s="9">
        <v>129.0</v>
      </c>
      <c r="K137" s="14">
        <v>255.8</v>
      </c>
      <c r="L137" s="14">
        <v>320.0</v>
      </c>
      <c r="M137" s="14">
        <v>306.0</v>
      </c>
    </row>
    <row r="138" ht="14.25" customHeight="1">
      <c r="A138" s="15">
        <v>815.0</v>
      </c>
      <c r="B138" s="13" t="s">
        <v>52</v>
      </c>
      <c r="C138" s="9">
        <v>141.80760307831875</v>
      </c>
      <c r="D138" s="14">
        <v>75.28837556358516</v>
      </c>
      <c r="E138" s="14">
        <v>170.67103045634843</v>
      </c>
      <c r="F138" s="14">
        <v>137.7088141847008</v>
      </c>
      <c r="G138" s="14">
        <v>196.81183244002935</v>
      </c>
      <c r="H138" s="14">
        <v>112.67743017855695</v>
      </c>
      <c r="I138" s="14">
        <v>59.4</v>
      </c>
      <c r="J138" s="9">
        <v>142.2</v>
      </c>
      <c r="K138" s="14">
        <v>263.80995269749235</v>
      </c>
      <c r="L138" s="14">
        <v>332.92292604783273</v>
      </c>
      <c r="M138" s="14">
        <v>319.53983061773306</v>
      </c>
    </row>
    <row r="139" ht="14.25" customHeight="1">
      <c r="A139" s="15">
        <v>816.0</v>
      </c>
      <c r="B139" s="13" t="s">
        <v>52</v>
      </c>
      <c r="C139" s="9">
        <v>139.81651915354894</v>
      </c>
      <c r="D139" s="14">
        <v>75.06447580516975</v>
      </c>
      <c r="E139" s="14">
        <v>167.51811139812781</v>
      </c>
      <c r="F139" s="14">
        <v>136.387438863595</v>
      </c>
      <c r="G139" s="14">
        <v>194.94662371884567</v>
      </c>
      <c r="H139" s="14">
        <v>110.7334254016534</v>
      </c>
      <c r="I139" s="14">
        <v>57.0</v>
      </c>
      <c r="J139" s="9">
        <v>139.3</v>
      </c>
      <c r="K139" s="14">
        <v>261.7293124743816</v>
      </c>
      <c r="L139" s="14">
        <v>330.956335328088</v>
      </c>
      <c r="M139" s="14">
        <v>316.24301105172066</v>
      </c>
    </row>
    <row r="140" ht="14.25" customHeight="1">
      <c r="A140" s="15">
        <v>817.0</v>
      </c>
      <c r="B140" s="13" t="s">
        <v>52</v>
      </c>
      <c r="C140" s="9">
        <v>133.0</v>
      </c>
      <c r="D140" s="14">
        <v>73.9</v>
      </c>
      <c r="E140" s="14">
        <v>170.8</v>
      </c>
      <c r="F140" s="14">
        <v>137.16872441662065</v>
      </c>
      <c r="G140" s="14">
        <v>194.0935786754338</v>
      </c>
      <c r="H140" s="14">
        <v>110.47814252065895</v>
      </c>
      <c r="I140" s="14">
        <v>56.23464643311568</v>
      </c>
      <c r="J140" s="9">
        <v>141.0324057502936</v>
      </c>
      <c r="K140" s="14">
        <v>261.1843969566969</v>
      </c>
      <c r="L140" s="14">
        <v>328.0006431181833</v>
      </c>
      <c r="M140" s="14">
        <v>313.0244983069334</v>
      </c>
    </row>
    <row r="141" ht="14.25" customHeight="1">
      <c r="A141" s="15">
        <v>818.0</v>
      </c>
      <c r="B141" s="13" t="s">
        <v>52</v>
      </c>
      <c r="C141" s="9">
        <v>140.8</v>
      </c>
      <c r="D141" s="14">
        <v>74.1</v>
      </c>
      <c r="E141" s="14">
        <v>168.5715442264625</v>
      </c>
      <c r="F141" s="14">
        <v>135.7</v>
      </c>
      <c r="G141" s="14">
        <v>191.8</v>
      </c>
      <c r="H141" s="14">
        <v>109.52006807452224</v>
      </c>
      <c r="I141" s="14">
        <v>56.84093277516325</v>
      </c>
      <c r="J141" s="9">
        <v>139.30010284662956</v>
      </c>
      <c r="K141" s="14">
        <v>260.2489686056454</v>
      </c>
      <c r="L141" s="14">
        <v>327.1247695311724</v>
      </c>
      <c r="M141" s="14">
        <v>312.20764650784065</v>
      </c>
    </row>
    <row r="142" ht="14.25" customHeight="1">
      <c r="A142" s="15">
        <v>819.0</v>
      </c>
      <c r="B142" s="13" t="s">
        <v>52</v>
      </c>
      <c r="C142" s="9">
        <v>142.0233158749374</v>
      </c>
      <c r="D142" s="14">
        <v>75.31155308751107</v>
      </c>
      <c r="E142" s="14">
        <v>171.00893869410856</v>
      </c>
      <c r="F142" s="14">
        <v>137.86125494428458</v>
      </c>
      <c r="G142" s="14">
        <v>197.00578628712088</v>
      </c>
      <c r="H142" s="14">
        <v>112.8986383458416</v>
      </c>
      <c r="I142" s="14">
        <v>59.7</v>
      </c>
      <c r="J142" s="9">
        <v>142.5</v>
      </c>
      <c r="K142" s="14">
        <v>264.05035658709266</v>
      </c>
      <c r="L142" s="14">
        <v>333.12660942244224</v>
      </c>
      <c r="M142" s="14">
        <v>319.9129436703504</v>
      </c>
    </row>
    <row r="143" ht="14.25" customHeight="1">
      <c r="A143" s="15">
        <v>820.0</v>
      </c>
      <c r="B143" s="13" t="s">
        <v>52</v>
      </c>
      <c r="C143" s="9">
        <v>154.5</v>
      </c>
      <c r="D143" s="14">
        <v>74.0</v>
      </c>
      <c r="E143" s="14">
        <v>164.4</v>
      </c>
      <c r="F143" s="14">
        <v>130.6</v>
      </c>
      <c r="G143" s="14">
        <v>194.72832266920733</v>
      </c>
      <c r="H143" s="14">
        <v>107.10423662646248</v>
      </c>
      <c r="I143" s="14">
        <v>55.78667211726322</v>
      </c>
      <c r="J143" s="9">
        <v>141.72730195573038</v>
      </c>
      <c r="K143" s="14">
        <v>258.4826203342426</v>
      </c>
      <c r="L143" s="14">
        <v>330.79349877712326</v>
      </c>
      <c r="M143" s="14">
        <v>315.06648868490436</v>
      </c>
    </row>
    <row r="144" ht="14.25" customHeight="1">
      <c r="A144" s="15">
        <v>821.0</v>
      </c>
      <c r="B144" s="13" t="s">
        <v>52</v>
      </c>
      <c r="C144" s="9">
        <v>147.5</v>
      </c>
      <c r="D144" s="14">
        <v>77.0</v>
      </c>
      <c r="E144" s="14">
        <v>168.5</v>
      </c>
      <c r="F144" s="14">
        <v>134.9</v>
      </c>
      <c r="G144" s="14">
        <v>196.70268212722848</v>
      </c>
      <c r="H144" s="14">
        <v>110.66053239409243</v>
      </c>
      <c r="I144" s="14">
        <v>56.06347714818323</v>
      </c>
      <c r="J144" s="9">
        <v>141.13980307895636</v>
      </c>
      <c r="K144" s="14">
        <v>262.4442046203952</v>
      </c>
      <c r="L144" s="14">
        <v>335.02774563350704</v>
      </c>
      <c r="M144" s="14">
        <v>319.5955040435741</v>
      </c>
    </row>
    <row r="145" ht="14.25" customHeight="1">
      <c r="A145" s="15">
        <v>822.0</v>
      </c>
      <c r="B145" s="13" t="s">
        <v>52</v>
      </c>
      <c r="C145" s="9">
        <v>142.6</v>
      </c>
      <c r="D145" s="14">
        <v>74.9</v>
      </c>
      <c r="E145" s="14">
        <v>169.1</v>
      </c>
      <c r="F145" s="14">
        <v>134.0</v>
      </c>
      <c r="G145" s="14">
        <v>192.7</v>
      </c>
      <c r="H145" s="14">
        <v>108.63062606284257</v>
      </c>
      <c r="I145" s="14">
        <v>56.163892735415494</v>
      </c>
      <c r="J145" s="9">
        <v>140.519897743977</v>
      </c>
      <c r="K145" s="14">
        <v>260.1500447628796</v>
      </c>
      <c r="L145" s="14">
        <v>328.3775870031592</v>
      </c>
      <c r="M145" s="14">
        <v>313.26323749499113</v>
      </c>
    </row>
    <row r="146" ht="14.25" customHeight="1">
      <c r="A146" s="15">
        <v>823.0</v>
      </c>
      <c r="B146" s="13" t="s">
        <v>52</v>
      </c>
      <c r="C146" s="9">
        <v>131.23</v>
      </c>
      <c r="D146" s="14">
        <v>73.8</v>
      </c>
      <c r="E146" s="14">
        <v>170.8</v>
      </c>
      <c r="F146" s="14">
        <v>137.2594133110323</v>
      </c>
      <c r="G146" s="14">
        <v>193.6532910772736</v>
      </c>
      <c r="H146" s="14">
        <v>110.40809273377174</v>
      </c>
      <c r="I146" s="14">
        <v>56.21458110364159</v>
      </c>
      <c r="J146" s="9">
        <v>140.84801127465894</v>
      </c>
      <c r="K146" s="14">
        <v>260.8845806600813</v>
      </c>
      <c r="L146" s="14">
        <v>327.1960906129851</v>
      </c>
      <c r="M146" s="14">
        <v>312.3050080147187</v>
      </c>
    </row>
    <row r="147" ht="14.25" customHeight="1">
      <c r="A147" s="15">
        <v>824.0</v>
      </c>
      <c r="B147" s="13" t="s">
        <v>52</v>
      </c>
      <c r="C147" s="9">
        <v>137.5045053964923</v>
      </c>
      <c r="D147" s="14">
        <v>74.60155739000223</v>
      </c>
      <c r="E147" s="14">
        <v>168.56576228206103</v>
      </c>
      <c r="F147" s="14">
        <v>137.2929235104438</v>
      </c>
      <c r="G147" s="14">
        <v>194.2</v>
      </c>
      <c r="H147" s="14">
        <v>112.2</v>
      </c>
      <c r="I147" s="14">
        <v>57.49648666136139</v>
      </c>
      <c r="J147" s="9">
        <v>140.6276621831345</v>
      </c>
      <c r="K147" s="14">
        <v>262.3</v>
      </c>
      <c r="L147" s="14">
        <v>328.0</v>
      </c>
      <c r="M147" s="14">
        <v>314.0</v>
      </c>
    </row>
    <row r="148" ht="14.25" customHeight="1">
      <c r="A148" s="15">
        <v>825.0</v>
      </c>
      <c r="B148" s="13" t="s">
        <v>52</v>
      </c>
      <c r="C148" s="9">
        <v>142.0</v>
      </c>
      <c r="D148" s="14">
        <v>76.0</v>
      </c>
      <c r="E148" s="14">
        <v>170.50299990895692</v>
      </c>
      <c r="F148" s="14">
        <v>137.00372566479274</v>
      </c>
      <c r="G148" s="14">
        <v>197.18133165976027</v>
      </c>
      <c r="H148" s="14">
        <v>111.03491887623134</v>
      </c>
      <c r="I148" s="14">
        <v>54.93371424540021</v>
      </c>
      <c r="J148" s="9">
        <v>141.55947457731068</v>
      </c>
      <c r="K148" s="14">
        <v>262.5</v>
      </c>
      <c r="L148" s="14">
        <v>333.0</v>
      </c>
      <c r="M148" s="14">
        <v>314.0</v>
      </c>
    </row>
    <row r="149" ht="14.25" customHeight="1">
      <c r="A149" s="15">
        <v>826.0</v>
      </c>
      <c r="B149" s="13" t="s">
        <v>52</v>
      </c>
      <c r="C149" s="9">
        <v>137.2</v>
      </c>
      <c r="D149" s="14">
        <v>75.5</v>
      </c>
      <c r="E149" s="14">
        <v>161.7</v>
      </c>
      <c r="F149" s="14">
        <v>135.5</v>
      </c>
      <c r="G149" s="14">
        <v>194.77310232798118</v>
      </c>
      <c r="H149" s="14">
        <v>110.99387597684584</v>
      </c>
      <c r="I149" s="14">
        <v>56.218526153054746</v>
      </c>
      <c r="J149" s="9">
        <v>138.46355292924784</v>
      </c>
      <c r="K149" s="14">
        <v>258.33022437639437</v>
      </c>
      <c r="L149" s="14">
        <v>330.30294535579134</v>
      </c>
      <c r="M149" s="14">
        <v>315.4363393701893</v>
      </c>
    </row>
    <row r="150" ht="14.25" customHeight="1">
      <c r="A150" s="15">
        <v>827.0</v>
      </c>
      <c r="B150" s="13" t="s">
        <v>52</v>
      </c>
      <c r="C150" s="9">
        <v>142.6</v>
      </c>
      <c r="D150" s="14">
        <v>75.8</v>
      </c>
      <c r="E150" s="14">
        <v>173.4</v>
      </c>
      <c r="F150" s="14">
        <v>137.3</v>
      </c>
      <c r="G150" s="14">
        <v>194.6</v>
      </c>
      <c r="H150" s="14">
        <v>110.6</v>
      </c>
      <c r="I150" s="14">
        <v>55.6</v>
      </c>
      <c r="J150" s="9">
        <v>142.2</v>
      </c>
      <c r="K150" s="14">
        <v>261.0</v>
      </c>
      <c r="L150" s="14">
        <v>333.0</v>
      </c>
      <c r="M150" s="14">
        <v>309.0</v>
      </c>
    </row>
    <row r="151" ht="14.25" customHeight="1">
      <c r="A151" s="15">
        <v>828.0</v>
      </c>
      <c r="B151" s="13" t="s">
        <v>52</v>
      </c>
      <c r="C151" s="9">
        <v>136.9</v>
      </c>
      <c r="D151" s="14">
        <v>73.2</v>
      </c>
      <c r="E151" s="14">
        <v>167.3</v>
      </c>
      <c r="F151" s="14">
        <v>139.5</v>
      </c>
      <c r="G151" s="14">
        <v>198.8</v>
      </c>
      <c r="H151" s="14">
        <v>112.5</v>
      </c>
      <c r="I151" s="14">
        <v>55.0</v>
      </c>
      <c r="J151" s="9">
        <v>142.4</v>
      </c>
      <c r="K151" s="14">
        <v>264.3</v>
      </c>
      <c r="L151" s="14">
        <v>334.0</v>
      </c>
      <c r="M151" s="14">
        <v>313.0</v>
      </c>
    </row>
    <row r="152" ht="14.25" customHeight="1">
      <c r="A152" s="15">
        <v>829.0</v>
      </c>
      <c r="B152" s="13" t="s">
        <v>52</v>
      </c>
      <c r="C152" s="9">
        <v>145.0</v>
      </c>
      <c r="D152" s="14">
        <v>74.3</v>
      </c>
      <c r="E152" s="14">
        <v>175.4</v>
      </c>
      <c r="F152" s="14">
        <v>137.15427715894637</v>
      </c>
      <c r="G152" s="14">
        <v>203.1</v>
      </c>
      <c r="H152" s="14">
        <v>110.4</v>
      </c>
      <c r="I152" s="14">
        <v>54.0</v>
      </c>
      <c r="J152" s="9">
        <v>146.0</v>
      </c>
      <c r="K152" s="14">
        <v>269.7012638011449</v>
      </c>
      <c r="L152" s="14">
        <v>345.0</v>
      </c>
      <c r="M152" s="14">
        <v>327.0</v>
      </c>
    </row>
    <row r="153" ht="14.25" customHeight="1">
      <c r="A153" s="15">
        <v>830.0</v>
      </c>
      <c r="B153" s="13" t="s">
        <v>52</v>
      </c>
      <c r="C153" s="9">
        <v>141.4</v>
      </c>
      <c r="D153" s="14">
        <v>72.0</v>
      </c>
      <c r="E153" s="14">
        <v>160.6</v>
      </c>
      <c r="F153" s="14">
        <v>138.2</v>
      </c>
      <c r="G153" s="14">
        <v>199.0</v>
      </c>
      <c r="H153" s="14">
        <v>112.8</v>
      </c>
      <c r="I153" s="14">
        <v>56.456790608031504</v>
      </c>
      <c r="J153" s="9">
        <v>141.11437667237587</v>
      </c>
      <c r="K153" s="14">
        <v>256.0</v>
      </c>
      <c r="L153" s="14">
        <v>330.0</v>
      </c>
      <c r="M153" s="14">
        <v>313.0</v>
      </c>
    </row>
    <row r="154" ht="14.25" customHeight="1">
      <c r="A154" s="15">
        <v>831.0</v>
      </c>
      <c r="B154" s="13" t="s">
        <v>52</v>
      </c>
      <c r="C154" s="9">
        <v>147.5</v>
      </c>
      <c r="D154" s="14">
        <v>77.9</v>
      </c>
      <c r="E154" s="14">
        <v>174.9</v>
      </c>
      <c r="F154" s="14">
        <v>136.4</v>
      </c>
      <c r="G154" s="14">
        <v>200.0</v>
      </c>
      <c r="H154" s="14">
        <v>109.0</v>
      </c>
      <c r="I154" s="14">
        <v>55.2</v>
      </c>
      <c r="J154" s="9">
        <v>141.4</v>
      </c>
      <c r="K154" s="14">
        <v>262.9</v>
      </c>
      <c r="L154" s="14">
        <v>340.0</v>
      </c>
      <c r="M154" s="14">
        <v>325.0</v>
      </c>
    </row>
    <row r="155" ht="14.25" customHeight="1">
      <c r="A155" s="15">
        <v>832.0</v>
      </c>
      <c r="B155" s="13" t="s">
        <v>52</v>
      </c>
      <c r="C155" s="9">
        <v>137.4</v>
      </c>
      <c r="D155" s="14">
        <v>73.3</v>
      </c>
      <c r="E155" s="14">
        <v>166.3620043395626</v>
      </c>
      <c r="F155" s="14">
        <v>136.2</v>
      </c>
      <c r="G155" s="14">
        <v>195.2</v>
      </c>
      <c r="H155" s="14">
        <v>112.0</v>
      </c>
      <c r="I155" s="14">
        <v>56.6</v>
      </c>
      <c r="J155" s="9">
        <v>140.3</v>
      </c>
      <c r="K155" s="14">
        <v>266.4</v>
      </c>
      <c r="L155" s="14">
        <v>334.0</v>
      </c>
      <c r="M155" s="14">
        <v>321.0</v>
      </c>
    </row>
    <row r="156" ht="14.25" customHeight="1">
      <c r="A156" s="15">
        <v>833.0</v>
      </c>
      <c r="B156" s="13" t="s">
        <v>52</v>
      </c>
      <c r="C156" s="9">
        <v>135.5</v>
      </c>
      <c r="D156" s="14">
        <v>80.0</v>
      </c>
      <c r="E156" s="14">
        <v>163.7</v>
      </c>
      <c r="F156" s="14">
        <v>137.0</v>
      </c>
      <c r="G156" s="14">
        <v>197.0</v>
      </c>
      <c r="H156" s="14">
        <v>113.4</v>
      </c>
      <c r="I156" s="14">
        <v>58.9</v>
      </c>
      <c r="J156" s="9">
        <v>137.4</v>
      </c>
      <c r="K156" s="14">
        <v>253.1</v>
      </c>
      <c r="L156" s="14">
        <v>332.0</v>
      </c>
      <c r="M156" s="14">
        <v>317.0</v>
      </c>
    </row>
    <row r="157" ht="14.25" customHeight="1">
      <c r="A157" s="15">
        <v>834.0</v>
      </c>
      <c r="B157" s="13" t="s">
        <v>52</v>
      </c>
      <c r="C157" s="9">
        <v>127.9</v>
      </c>
      <c r="D157" s="14">
        <v>76.0</v>
      </c>
      <c r="E157" s="14">
        <v>156.2</v>
      </c>
      <c r="F157" s="14">
        <v>129.8</v>
      </c>
      <c r="G157" s="14">
        <v>187.6</v>
      </c>
      <c r="H157" s="14">
        <v>109.7</v>
      </c>
      <c r="I157" s="14">
        <v>53.1</v>
      </c>
      <c r="J157" s="9">
        <v>142.9</v>
      </c>
      <c r="K157" s="14">
        <v>250.0</v>
      </c>
      <c r="L157" s="14">
        <v>320.0</v>
      </c>
      <c r="M157" s="14">
        <v>305.0</v>
      </c>
    </row>
    <row r="158" ht="14.25" customHeight="1">
      <c r="A158" s="15">
        <v>835.0</v>
      </c>
      <c r="B158" s="13" t="s">
        <v>52</v>
      </c>
      <c r="C158" s="9">
        <v>128.1</v>
      </c>
      <c r="D158" s="14">
        <v>70.9</v>
      </c>
      <c r="E158" s="14">
        <v>169.0</v>
      </c>
      <c r="F158" s="14">
        <v>136.0455586281061</v>
      </c>
      <c r="G158" s="14">
        <v>194.15021348600482</v>
      </c>
      <c r="H158" s="14">
        <v>109.53669855018643</v>
      </c>
      <c r="I158" s="14">
        <v>53.9</v>
      </c>
      <c r="J158" s="9">
        <v>145.0</v>
      </c>
      <c r="K158" s="14">
        <v>255.6</v>
      </c>
      <c r="L158" s="14">
        <v>324.0</v>
      </c>
      <c r="M158" s="14">
        <v>308.0</v>
      </c>
    </row>
    <row r="159" ht="14.25" customHeight="1">
      <c r="A159" s="15">
        <v>836.0</v>
      </c>
      <c r="B159" s="13" t="s">
        <v>52</v>
      </c>
      <c r="C159" s="9">
        <v>147.7</v>
      </c>
      <c r="D159" s="14">
        <v>77.9</v>
      </c>
      <c r="E159" s="14">
        <v>169.57146308429088</v>
      </c>
      <c r="F159" s="14">
        <v>136.9</v>
      </c>
      <c r="G159" s="14">
        <v>197.8</v>
      </c>
      <c r="H159" s="14">
        <v>111.2</v>
      </c>
      <c r="I159" s="14">
        <v>53.3</v>
      </c>
      <c r="J159" s="9">
        <v>146.0</v>
      </c>
      <c r="K159" s="14">
        <v>240.0</v>
      </c>
      <c r="L159" s="14">
        <v>331.5</v>
      </c>
      <c r="M159" s="14">
        <v>316.0</v>
      </c>
    </row>
    <row r="160" ht="14.25" customHeight="1">
      <c r="A160" s="15">
        <v>837.0</v>
      </c>
      <c r="B160" s="13" t="s">
        <v>52</v>
      </c>
      <c r="C160" s="9">
        <v>147.3</v>
      </c>
      <c r="D160" s="14">
        <v>77.5</v>
      </c>
      <c r="E160" s="14">
        <v>175.3</v>
      </c>
      <c r="F160" s="14">
        <v>135.7</v>
      </c>
      <c r="G160" s="14">
        <v>199.8</v>
      </c>
      <c r="H160" s="14">
        <v>113.6</v>
      </c>
      <c r="I160" s="14">
        <v>57.1</v>
      </c>
      <c r="J160" s="9">
        <v>146.6</v>
      </c>
      <c r="K160" s="14">
        <v>268.6</v>
      </c>
      <c r="L160" s="14">
        <v>340.5</v>
      </c>
      <c r="M160" s="14">
        <v>325.5</v>
      </c>
    </row>
    <row r="161" ht="14.25" customHeight="1">
      <c r="A161" s="15">
        <v>838.0</v>
      </c>
      <c r="B161" s="13" t="s">
        <v>52</v>
      </c>
      <c r="C161" s="9">
        <v>147.7</v>
      </c>
      <c r="D161" s="14">
        <v>77.9</v>
      </c>
      <c r="E161" s="14">
        <v>178.2102640409495</v>
      </c>
      <c r="F161" s="14">
        <v>136.9</v>
      </c>
      <c r="G161" s="14">
        <v>197.8</v>
      </c>
      <c r="H161" s="14">
        <v>111.2</v>
      </c>
      <c r="I161" s="14">
        <v>53.3</v>
      </c>
      <c r="J161" s="9">
        <v>146.0</v>
      </c>
      <c r="K161" s="14">
        <v>264.0</v>
      </c>
      <c r="L161" s="14">
        <v>331.5</v>
      </c>
      <c r="M161" s="14">
        <v>316.0</v>
      </c>
    </row>
    <row r="162" ht="14.25" customHeight="1">
      <c r="A162" s="15">
        <v>839.0</v>
      </c>
      <c r="B162" s="13" t="s">
        <v>52</v>
      </c>
      <c r="C162" s="9">
        <v>140.0</v>
      </c>
      <c r="D162" s="14">
        <v>77.3</v>
      </c>
      <c r="E162" s="14">
        <v>171.5</v>
      </c>
      <c r="F162" s="14">
        <v>131.0</v>
      </c>
      <c r="G162" s="14">
        <v>187.7</v>
      </c>
      <c r="H162" s="14">
        <v>104.3</v>
      </c>
      <c r="I162" s="14">
        <v>60.5</v>
      </c>
      <c r="J162" s="9">
        <v>135.9</v>
      </c>
      <c r="K162" s="14">
        <v>257.8</v>
      </c>
      <c r="L162" s="14">
        <v>320.6</v>
      </c>
      <c r="M162" s="14">
        <v>308.0</v>
      </c>
    </row>
    <row r="163" ht="14.25" customHeight="1">
      <c r="A163" s="15">
        <v>840.0</v>
      </c>
      <c r="B163" s="13" t="s">
        <v>52</v>
      </c>
      <c r="C163" s="9">
        <v>149.5</v>
      </c>
      <c r="D163" s="14">
        <v>82.1</v>
      </c>
      <c r="E163" s="14">
        <v>185.3</v>
      </c>
      <c r="F163" s="14">
        <v>145.3</v>
      </c>
      <c r="G163" s="14">
        <v>210.5</v>
      </c>
      <c r="H163" s="14">
        <v>118.0</v>
      </c>
      <c r="I163" s="14">
        <v>57.6</v>
      </c>
      <c r="J163" s="9">
        <v>149.9</v>
      </c>
      <c r="K163" s="14">
        <v>277.4</v>
      </c>
      <c r="L163" s="14">
        <v>347.0</v>
      </c>
      <c r="M163" s="14">
        <v>332.0</v>
      </c>
    </row>
    <row r="164" ht="14.25" customHeight="1">
      <c r="A164" s="15">
        <v>841.0</v>
      </c>
      <c r="B164" s="13" t="s">
        <v>52</v>
      </c>
      <c r="C164" s="9">
        <v>149.9</v>
      </c>
      <c r="D164" s="14">
        <v>78.2</v>
      </c>
      <c r="E164" s="14">
        <v>166.2</v>
      </c>
      <c r="F164" s="14">
        <v>137.4</v>
      </c>
      <c r="G164" s="14">
        <v>203.5</v>
      </c>
      <c r="H164" s="14">
        <v>113.7</v>
      </c>
      <c r="I164" s="14">
        <v>53.9</v>
      </c>
      <c r="J164" s="9">
        <v>140.8</v>
      </c>
      <c r="K164" s="14">
        <v>266.3</v>
      </c>
      <c r="L164" s="14">
        <v>340.0</v>
      </c>
      <c r="M164" s="14">
        <v>321.0</v>
      </c>
    </row>
    <row r="165" ht="14.25" customHeight="1">
      <c r="A165" s="15">
        <v>842.0</v>
      </c>
      <c r="B165" s="13" t="s">
        <v>52</v>
      </c>
      <c r="C165" s="9">
        <v>137.9</v>
      </c>
      <c r="D165" s="14">
        <v>77.4</v>
      </c>
      <c r="E165" s="14">
        <v>181.60080998240153</v>
      </c>
      <c r="F165" s="14">
        <v>140.4</v>
      </c>
      <c r="G165" s="14">
        <v>191.6</v>
      </c>
      <c r="H165" s="14">
        <v>111.7</v>
      </c>
      <c r="I165" s="14">
        <v>58.1</v>
      </c>
      <c r="J165" s="9">
        <v>140.7</v>
      </c>
      <c r="K165" s="14">
        <v>268.6</v>
      </c>
      <c r="L165" s="14">
        <v>331.0</v>
      </c>
      <c r="M165" s="14">
        <v>320.0</v>
      </c>
    </row>
    <row r="166" ht="14.25" customHeight="1">
      <c r="A166" s="15">
        <v>843.0</v>
      </c>
      <c r="B166" s="13" t="s">
        <v>52</v>
      </c>
      <c r="C166" s="9">
        <v>141.4</v>
      </c>
      <c r="D166" s="14">
        <v>75.5</v>
      </c>
      <c r="E166" s="14">
        <v>170.5</v>
      </c>
      <c r="F166" s="14">
        <v>138.4</v>
      </c>
      <c r="G166" s="14">
        <v>196.5</v>
      </c>
      <c r="H166" s="14">
        <v>109.5</v>
      </c>
      <c r="I166" s="14">
        <v>57.3</v>
      </c>
      <c r="J166" s="9">
        <v>137.1</v>
      </c>
      <c r="K166" s="14">
        <v>260.0</v>
      </c>
      <c r="L166" s="14">
        <v>325.0</v>
      </c>
      <c r="M166" s="14">
        <v>310.0</v>
      </c>
    </row>
    <row r="167" ht="14.25" customHeight="1">
      <c r="A167" s="15">
        <v>844.0</v>
      </c>
      <c r="B167" s="13" t="s">
        <v>52</v>
      </c>
      <c r="C167" s="9">
        <v>137.8</v>
      </c>
      <c r="D167" s="14">
        <v>76.3</v>
      </c>
      <c r="E167" s="14">
        <v>167.09154184032727</v>
      </c>
      <c r="F167" s="14">
        <v>138.6</v>
      </c>
      <c r="G167" s="14">
        <v>198.0</v>
      </c>
      <c r="H167" s="14">
        <v>115.2</v>
      </c>
      <c r="I167" s="14">
        <v>56.0</v>
      </c>
      <c r="J167" s="9">
        <v>138.0</v>
      </c>
      <c r="K167" s="14">
        <v>272.5</v>
      </c>
      <c r="L167" s="14">
        <v>346.0</v>
      </c>
      <c r="M167" s="14">
        <v>335.0</v>
      </c>
    </row>
    <row r="168" ht="14.25" customHeight="1">
      <c r="A168" s="15">
        <v>845.0</v>
      </c>
      <c r="B168" s="13" t="s">
        <v>52</v>
      </c>
      <c r="C168" s="9">
        <v>148.7</v>
      </c>
      <c r="D168" s="14">
        <v>78.0</v>
      </c>
      <c r="E168" s="14">
        <v>184.0</v>
      </c>
      <c r="F168" s="14">
        <v>138.0</v>
      </c>
      <c r="G168" s="14">
        <v>198.9</v>
      </c>
      <c r="H168" s="14">
        <v>115.4</v>
      </c>
      <c r="I168" s="14">
        <v>55.8</v>
      </c>
      <c r="J168" s="9">
        <v>147.0</v>
      </c>
      <c r="K168" s="14">
        <v>273.5</v>
      </c>
      <c r="L168" s="14">
        <v>346.0</v>
      </c>
      <c r="M168" s="14">
        <v>331.0</v>
      </c>
    </row>
    <row r="169" ht="14.25" customHeight="1">
      <c r="A169" s="15">
        <v>846.0</v>
      </c>
      <c r="B169" s="13" t="s">
        <v>52</v>
      </c>
      <c r="C169" s="9">
        <v>137.6</v>
      </c>
      <c r="D169" s="14">
        <v>74.3</v>
      </c>
      <c r="E169" s="14">
        <v>166.0</v>
      </c>
      <c r="F169" s="14">
        <v>134.3</v>
      </c>
      <c r="G169" s="14">
        <v>193.2</v>
      </c>
      <c r="H169" s="14">
        <v>110.0</v>
      </c>
      <c r="I169" s="14">
        <v>58.1</v>
      </c>
      <c r="J169" s="9">
        <v>142.4</v>
      </c>
      <c r="K169" s="14">
        <v>264.6</v>
      </c>
      <c r="L169" s="14">
        <v>336.0</v>
      </c>
      <c r="M169" s="14">
        <v>324.0</v>
      </c>
    </row>
    <row r="170" ht="14.25" customHeight="1">
      <c r="A170" s="15">
        <v>847.0</v>
      </c>
      <c r="B170" s="13" t="s">
        <v>52</v>
      </c>
      <c r="C170" s="9">
        <v>146.8</v>
      </c>
      <c r="D170" s="14">
        <v>76.6</v>
      </c>
      <c r="E170" s="14">
        <v>162.8</v>
      </c>
      <c r="F170" s="14">
        <v>137.8</v>
      </c>
      <c r="G170" s="14">
        <v>200.0</v>
      </c>
      <c r="H170" s="14">
        <v>112.1</v>
      </c>
      <c r="I170" s="14">
        <v>56.4</v>
      </c>
      <c r="J170" s="9">
        <v>137.2</v>
      </c>
      <c r="K170" s="14">
        <v>266.3</v>
      </c>
      <c r="L170" s="14">
        <v>347.0</v>
      </c>
      <c r="M170" s="14">
        <v>333.0</v>
      </c>
    </row>
    <row r="171" ht="14.25" customHeight="1">
      <c r="A171" s="15">
        <v>848.0</v>
      </c>
      <c r="B171" s="13" t="s">
        <v>52</v>
      </c>
      <c r="C171" s="9">
        <v>142.4</v>
      </c>
      <c r="D171" s="14">
        <v>75.5</v>
      </c>
      <c r="E171" s="14">
        <v>175.9</v>
      </c>
      <c r="F171" s="14">
        <v>143.5</v>
      </c>
      <c r="G171" s="14">
        <v>204.9</v>
      </c>
      <c r="H171" s="14">
        <v>120.0</v>
      </c>
      <c r="I171" s="14">
        <v>58.4</v>
      </c>
      <c r="J171" s="9">
        <v>146.2</v>
      </c>
      <c r="K171" s="14">
        <v>266.4</v>
      </c>
      <c r="L171" s="14">
        <v>344.0</v>
      </c>
      <c r="M171" s="14">
        <v>330.0</v>
      </c>
    </row>
    <row r="172" ht="14.25" customHeight="1">
      <c r="A172" s="15">
        <v>849.0</v>
      </c>
      <c r="B172" s="13" t="s">
        <v>52</v>
      </c>
      <c r="C172" s="9">
        <v>131.2</v>
      </c>
      <c r="D172" s="14">
        <v>68.4</v>
      </c>
      <c r="E172" s="14">
        <v>161.0</v>
      </c>
      <c r="F172" s="14">
        <v>135.3</v>
      </c>
      <c r="G172" s="14">
        <v>197.0</v>
      </c>
      <c r="H172" s="14">
        <v>109.2</v>
      </c>
      <c r="I172" s="14">
        <v>58.4</v>
      </c>
      <c r="J172" s="9">
        <v>141.6</v>
      </c>
      <c r="K172" s="14">
        <v>254.0</v>
      </c>
      <c r="L172" s="14">
        <v>326.0</v>
      </c>
      <c r="M172" s="14">
        <v>315.0</v>
      </c>
    </row>
    <row r="173" ht="14.25" customHeight="1">
      <c r="A173" s="15">
        <v>850.0</v>
      </c>
      <c r="B173" s="13" t="s">
        <v>52</v>
      </c>
      <c r="C173" s="9">
        <v>145.2</v>
      </c>
      <c r="D173" s="14">
        <v>70.3</v>
      </c>
      <c r="E173" s="14">
        <v>170.0</v>
      </c>
      <c r="F173" s="14">
        <v>134.1752747142957</v>
      </c>
      <c r="G173" s="14">
        <v>194.25400545341708</v>
      </c>
      <c r="H173" s="14">
        <v>106.48631210651877</v>
      </c>
      <c r="I173" s="14">
        <v>54.0</v>
      </c>
      <c r="J173" s="9">
        <v>142.9</v>
      </c>
      <c r="K173" s="14">
        <v>254.5</v>
      </c>
      <c r="L173" s="14">
        <v>324.0591013823942</v>
      </c>
      <c r="M173" s="14">
        <v>306.6475074426072</v>
      </c>
    </row>
    <row r="174" ht="14.25" customHeight="1">
      <c r="A174" s="15">
        <v>851.0</v>
      </c>
      <c r="B174" s="13" t="s">
        <v>52</v>
      </c>
      <c r="C174" s="9">
        <v>133.7</v>
      </c>
      <c r="D174" s="14">
        <v>71.6</v>
      </c>
      <c r="E174" s="14">
        <v>161.6</v>
      </c>
      <c r="F174" s="14">
        <v>134.50262132473588</v>
      </c>
      <c r="G174" s="14">
        <v>192.73242889855896</v>
      </c>
      <c r="H174" s="14">
        <v>108.77767148782925</v>
      </c>
      <c r="I174" s="14">
        <v>55.5</v>
      </c>
      <c r="J174" s="9">
        <v>139.5</v>
      </c>
      <c r="K174" s="14">
        <v>255.60858304297966</v>
      </c>
      <c r="L174" s="14">
        <v>324.338195584581</v>
      </c>
      <c r="M174" s="14">
        <v>309.00072036102176</v>
      </c>
    </row>
    <row r="175" ht="14.25" customHeight="1">
      <c r="A175" s="15">
        <v>852.0</v>
      </c>
      <c r="B175" s="13" t="s">
        <v>52</v>
      </c>
      <c r="C175" s="9">
        <v>137.2</v>
      </c>
      <c r="D175" s="14">
        <v>76.0</v>
      </c>
      <c r="E175" s="14">
        <v>171.0</v>
      </c>
      <c r="F175" s="14">
        <v>136.7</v>
      </c>
      <c r="G175" s="14">
        <v>196.2</v>
      </c>
      <c r="H175" s="14">
        <v>113.4</v>
      </c>
      <c r="I175" s="14">
        <v>53.4</v>
      </c>
      <c r="J175" s="9">
        <v>140.1</v>
      </c>
      <c r="K175" s="14">
        <v>269.4</v>
      </c>
      <c r="L175" s="14">
        <v>341.0</v>
      </c>
      <c r="M175" s="14">
        <v>325.0</v>
      </c>
    </row>
    <row r="176" ht="14.25" customHeight="1">
      <c r="A176" s="15">
        <v>853.0</v>
      </c>
      <c r="B176" s="13" t="s">
        <v>52</v>
      </c>
      <c r="C176" s="9">
        <v>140.1</v>
      </c>
      <c r="D176" s="14">
        <v>69.0</v>
      </c>
      <c r="E176" s="14">
        <v>163.0</v>
      </c>
      <c r="F176" s="14">
        <v>132.5</v>
      </c>
      <c r="G176" s="14">
        <v>193.6</v>
      </c>
      <c r="H176" s="14">
        <v>107.5</v>
      </c>
      <c r="I176" s="14">
        <v>58.5</v>
      </c>
      <c r="J176" s="9">
        <v>145.4</v>
      </c>
      <c r="K176" s="14">
        <v>250.7</v>
      </c>
      <c r="L176" s="14">
        <v>312.0</v>
      </c>
      <c r="M176" s="14">
        <v>297.0</v>
      </c>
    </row>
    <row r="177" ht="14.25" customHeight="1">
      <c r="A177" s="15">
        <v>141.0</v>
      </c>
      <c r="B177" s="13" t="s">
        <v>53</v>
      </c>
      <c r="C177" s="9">
        <v>58.9</v>
      </c>
      <c r="D177" s="14">
        <v>42.7</v>
      </c>
      <c r="E177" s="14">
        <v>73.0</v>
      </c>
      <c r="F177" s="14">
        <v>93.0</v>
      </c>
      <c r="G177" s="14">
        <v>137.2</v>
      </c>
      <c r="H177" s="14">
        <v>75.73856007220876</v>
      </c>
      <c r="I177" s="14">
        <v>70.0</v>
      </c>
      <c r="J177" s="9">
        <v>92.8</v>
      </c>
      <c r="K177" s="14">
        <v>149.6</v>
      </c>
      <c r="L177" s="14">
        <v>176.7</v>
      </c>
      <c r="M177" s="14">
        <v>171.5</v>
      </c>
    </row>
    <row r="178" ht="14.25" customHeight="1">
      <c r="A178" s="15">
        <v>142.0</v>
      </c>
      <c r="B178" s="13" t="s">
        <v>53</v>
      </c>
      <c r="C178" s="9">
        <v>65.5</v>
      </c>
      <c r="D178" s="14">
        <v>52.4</v>
      </c>
      <c r="E178" s="14">
        <v>77.2</v>
      </c>
      <c r="F178" s="14">
        <v>101.3</v>
      </c>
      <c r="G178" s="14">
        <v>152.5</v>
      </c>
      <c r="H178" s="14">
        <v>82.1</v>
      </c>
      <c r="I178" s="14">
        <v>69.0</v>
      </c>
      <c r="J178" s="9">
        <v>96.4</v>
      </c>
      <c r="K178" s="14">
        <v>165.2</v>
      </c>
      <c r="L178" s="14">
        <v>192.5</v>
      </c>
      <c r="M178" s="14">
        <v>184.9</v>
      </c>
    </row>
    <row r="179" ht="14.25" customHeight="1">
      <c r="A179" s="15">
        <v>143.0</v>
      </c>
      <c r="B179" s="13" t="s">
        <v>53</v>
      </c>
      <c r="C179" s="9">
        <v>79.1</v>
      </c>
      <c r="D179" s="14">
        <v>46.2</v>
      </c>
      <c r="E179" s="14">
        <v>78.3</v>
      </c>
      <c r="F179" s="14">
        <v>94.8</v>
      </c>
      <c r="G179" s="14">
        <v>138.8</v>
      </c>
      <c r="H179" s="14">
        <v>76.6</v>
      </c>
      <c r="I179" s="14">
        <v>69.0</v>
      </c>
      <c r="J179" s="9">
        <v>93.1</v>
      </c>
      <c r="K179" s="14">
        <v>162.9</v>
      </c>
      <c r="L179" s="14">
        <v>176.8</v>
      </c>
      <c r="M179" s="14">
        <v>171.2</v>
      </c>
    </row>
    <row r="180" ht="14.25" customHeight="1">
      <c r="A180" s="15">
        <v>144.0</v>
      </c>
      <c r="B180" s="13" t="s">
        <v>53</v>
      </c>
      <c r="C180" s="9">
        <v>60.1</v>
      </c>
      <c r="D180" s="14">
        <v>46.3</v>
      </c>
      <c r="E180" s="14">
        <v>74.9</v>
      </c>
      <c r="F180" s="14">
        <v>95.6</v>
      </c>
      <c r="G180" s="14">
        <v>142.8</v>
      </c>
      <c r="H180" s="14">
        <v>78.0</v>
      </c>
      <c r="I180" s="14">
        <v>70.5</v>
      </c>
      <c r="J180" s="9">
        <v>94.8</v>
      </c>
      <c r="K180" s="14">
        <v>155.0</v>
      </c>
      <c r="L180" s="14">
        <v>165.1</v>
      </c>
      <c r="M180" s="14">
        <v>179.5</v>
      </c>
    </row>
    <row r="181" ht="14.25" customHeight="1">
      <c r="A181" s="15">
        <v>145.0</v>
      </c>
      <c r="B181" s="13" t="s">
        <v>53</v>
      </c>
      <c r="C181" s="9">
        <v>67.5</v>
      </c>
      <c r="D181" s="14">
        <v>48.0</v>
      </c>
      <c r="E181" s="14">
        <v>63.3</v>
      </c>
      <c r="F181" s="14">
        <v>97.7</v>
      </c>
      <c r="G181" s="14">
        <v>147.5</v>
      </c>
      <c r="H181" s="14">
        <v>72.8</v>
      </c>
      <c r="I181" s="14">
        <v>72.0</v>
      </c>
      <c r="J181" s="9">
        <v>100.2</v>
      </c>
      <c r="K181" s="14">
        <v>156.3</v>
      </c>
      <c r="L181" s="14">
        <v>185.2</v>
      </c>
      <c r="M181" s="14">
        <v>175.6</v>
      </c>
    </row>
    <row r="182" ht="14.25" customHeight="1">
      <c r="A182" s="15">
        <v>146.0</v>
      </c>
      <c r="B182" s="13" t="s">
        <v>53</v>
      </c>
      <c r="C182" s="9">
        <v>68.8</v>
      </c>
      <c r="D182" s="14">
        <v>47.7</v>
      </c>
      <c r="E182" s="14">
        <v>80.3</v>
      </c>
      <c r="F182" s="14">
        <v>99.1</v>
      </c>
      <c r="G182" s="14">
        <v>150.2</v>
      </c>
      <c r="H182" s="14">
        <v>80.4</v>
      </c>
      <c r="I182" s="14">
        <v>72.0</v>
      </c>
      <c r="J182" s="9">
        <v>101.8</v>
      </c>
      <c r="K182" s="14">
        <v>161.9</v>
      </c>
      <c r="L182" s="14">
        <v>191.0</v>
      </c>
      <c r="M182" s="14">
        <v>183.5</v>
      </c>
    </row>
    <row r="183" ht="14.25" customHeight="1">
      <c r="A183" s="15">
        <v>147.0</v>
      </c>
      <c r="B183" s="13" t="s">
        <v>53</v>
      </c>
      <c r="C183" s="9">
        <v>59.4</v>
      </c>
      <c r="D183" s="14">
        <v>44.8</v>
      </c>
      <c r="E183" s="14">
        <v>74.0</v>
      </c>
      <c r="F183" s="14">
        <v>92.2</v>
      </c>
      <c r="G183" s="14">
        <v>139.9</v>
      </c>
      <c r="H183" s="14">
        <v>76.0</v>
      </c>
      <c r="I183" s="14">
        <v>68.0</v>
      </c>
      <c r="J183" s="9">
        <v>94.0</v>
      </c>
      <c r="K183" s="14">
        <v>152.8</v>
      </c>
      <c r="L183" s="14">
        <v>176.7</v>
      </c>
      <c r="M183" s="14">
        <v>169.4</v>
      </c>
    </row>
    <row r="184" ht="14.25" customHeight="1">
      <c r="A184" s="15">
        <v>148.0</v>
      </c>
      <c r="B184" s="13" t="s">
        <v>53</v>
      </c>
      <c r="C184" s="9">
        <v>62.8</v>
      </c>
      <c r="D184" s="14">
        <v>47.0</v>
      </c>
      <c r="E184" s="14">
        <v>73.4</v>
      </c>
      <c r="F184" s="14">
        <v>92.5</v>
      </c>
      <c r="G184" s="14">
        <v>140.4</v>
      </c>
      <c r="H184" s="14">
        <v>78.0</v>
      </c>
      <c r="I184" s="14">
        <v>70.5</v>
      </c>
      <c r="J184" s="9">
        <v>96.8</v>
      </c>
      <c r="K184" s="14">
        <v>150.8</v>
      </c>
      <c r="L184" s="14">
        <v>180.0</v>
      </c>
      <c r="M184" s="14">
        <v>174.2</v>
      </c>
    </row>
    <row r="185" ht="14.25" customHeight="1">
      <c r="A185" s="15">
        <v>149.0</v>
      </c>
      <c r="B185" s="13" t="s">
        <v>53</v>
      </c>
      <c r="C185" s="9">
        <v>77.0</v>
      </c>
      <c r="D185" s="14">
        <v>47.1</v>
      </c>
      <c r="E185" s="14">
        <v>76.4</v>
      </c>
      <c r="F185" s="14">
        <v>100.2</v>
      </c>
      <c r="G185" s="14">
        <v>146.8</v>
      </c>
      <c r="H185" s="14">
        <v>79.9</v>
      </c>
      <c r="I185" s="14">
        <v>68.5</v>
      </c>
      <c r="J185" s="9">
        <v>99.4</v>
      </c>
      <c r="K185" s="14">
        <v>159.2</v>
      </c>
      <c r="L185" s="14">
        <v>186.8</v>
      </c>
      <c r="M185" s="14">
        <v>180.5</v>
      </c>
    </row>
    <row r="186" ht="14.25" customHeight="1">
      <c r="A186" s="15">
        <v>150.0</v>
      </c>
      <c r="B186" s="13" t="s">
        <v>53</v>
      </c>
      <c r="C186" s="9">
        <v>66.0</v>
      </c>
      <c r="D186" s="14">
        <v>48.4</v>
      </c>
      <c r="E186" s="14">
        <v>80.0</v>
      </c>
      <c r="F186" s="14">
        <v>99.2</v>
      </c>
      <c r="G186" s="14">
        <v>145.0</v>
      </c>
      <c r="H186" s="14">
        <v>79.2</v>
      </c>
      <c r="I186" s="14">
        <v>71.1</v>
      </c>
      <c r="J186" s="9">
        <v>103.0</v>
      </c>
      <c r="K186" s="14">
        <v>162.0</v>
      </c>
      <c r="L186" s="14">
        <v>189.0</v>
      </c>
      <c r="M186" s="14">
        <v>183.5</v>
      </c>
    </row>
    <row r="187" ht="14.25" customHeight="1">
      <c r="A187" s="15">
        <v>151.0</v>
      </c>
      <c r="B187" s="13" t="s">
        <v>53</v>
      </c>
      <c r="C187" s="9">
        <v>70.2</v>
      </c>
      <c r="D187" s="14">
        <v>49.9</v>
      </c>
      <c r="E187" s="14">
        <v>75.4</v>
      </c>
      <c r="F187" s="14">
        <v>100.8</v>
      </c>
      <c r="G187" s="14">
        <v>150.5</v>
      </c>
      <c r="H187" s="14">
        <v>78.0</v>
      </c>
      <c r="I187" s="14">
        <v>70.6</v>
      </c>
      <c r="J187" s="9">
        <v>96.4</v>
      </c>
      <c r="K187" s="14">
        <v>161.8</v>
      </c>
      <c r="L187" s="14">
        <v>187.0</v>
      </c>
      <c r="M187" s="14">
        <v>181.1</v>
      </c>
    </row>
    <row r="188" ht="14.25" customHeight="1">
      <c r="A188" s="15">
        <v>152.0</v>
      </c>
      <c r="B188" s="13" t="s">
        <v>53</v>
      </c>
      <c r="C188" s="9">
        <v>69.4</v>
      </c>
      <c r="D188" s="14">
        <v>47.8</v>
      </c>
      <c r="E188" s="14">
        <v>78.6</v>
      </c>
      <c r="F188" s="14">
        <v>99.4</v>
      </c>
      <c r="G188" s="14">
        <v>145.3</v>
      </c>
      <c r="H188" s="14">
        <v>77.4</v>
      </c>
      <c r="I188" s="14">
        <v>71.0</v>
      </c>
      <c r="J188" s="9">
        <v>99.2</v>
      </c>
      <c r="K188" s="14">
        <v>159.0</v>
      </c>
      <c r="L188" s="14">
        <v>162.2</v>
      </c>
      <c r="M188" s="14">
        <v>177.0</v>
      </c>
    </row>
    <row r="189" ht="14.25" customHeight="1">
      <c r="A189" s="15">
        <v>153.0</v>
      </c>
      <c r="B189" s="13" t="s">
        <v>53</v>
      </c>
      <c r="C189" s="9">
        <v>69.4</v>
      </c>
      <c r="D189" s="14">
        <v>50.0</v>
      </c>
      <c r="E189" s="14">
        <v>81.0</v>
      </c>
      <c r="F189" s="14">
        <v>100.0</v>
      </c>
      <c r="G189" s="14">
        <v>149.1</v>
      </c>
      <c r="H189" s="14">
        <v>81.0</v>
      </c>
      <c r="I189" s="14">
        <v>69.2</v>
      </c>
      <c r="J189" s="9">
        <v>100.1</v>
      </c>
      <c r="K189" s="14">
        <v>159.0</v>
      </c>
      <c r="L189" s="14">
        <v>190.3</v>
      </c>
      <c r="M189" s="14">
        <v>184.9</v>
      </c>
    </row>
    <row r="190" ht="14.25" customHeight="1">
      <c r="A190" s="15">
        <v>154.0</v>
      </c>
      <c r="B190" s="13" t="s">
        <v>53</v>
      </c>
      <c r="C190" s="9">
        <v>61.5</v>
      </c>
      <c r="D190" s="14">
        <v>42.4</v>
      </c>
      <c r="E190" s="14">
        <v>68.6</v>
      </c>
      <c r="F190" s="14">
        <v>88.8</v>
      </c>
      <c r="G190" s="14">
        <v>131.8</v>
      </c>
      <c r="H190" s="14">
        <v>71.3</v>
      </c>
      <c r="I190" s="14">
        <v>68.87396620991433</v>
      </c>
      <c r="J190" s="9">
        <v>90.6</v>
      </c>
      <c r="K190" s="14">
        <v>142.0</v>
      </c>
      <c r="L190" s="14">
        <v>170.0</v>
      </c>
      <c r="M190" s="14">
        <v>164.1</v>
      </c>
    </row>
    <row r="191" ht="14.25" customHeight="1">
      <c r="A191" s="15">
        <v>155.0</v>
      </c>
      <c r="B191" s="13" t="s">
        <v>53</v>
      </c>
      <c r="C191" s="9">
        <v>61.0</v>
      </c>
      <c r="D191" s="14">
        <v>42.0</v>
      </c>
      <c r="E191" s="14">
        <v>71.8</v>
      </c>
      <c r="F191" s="14">
        <v>92.6</v>
      </c>
      <c r="G191" s="14">
        <v>136.4</v>
      </c>
      <c r="H191" s="14">
        <v>74.4</v>
      </c>
      <c r="I191" s="14">
        <v>70.0</v>
      </c>
      <c r="J191" s="9">
        <v>93.9</v>
      </c>
      <c r="K191" s="14">
        <v>148.5</v>
      </c>
      <c r="L191" s="14">
        <v>175.8</v>
      </c>
      <c r="M191" s="14">
        <v>162.2</v>
      </c>
    </row>
    <row r="192" ht="14.25" customHeight="1">
      <c r="A192" s="15">
        <v>156.0</v>
      </c>
      <c r="B192" s="13" t="s">
        <v>53</v>
      </c>
      <c r="C192" s="9">
        <v>67.4</v>
      </c>
      <c r="D192" s="14">
        <v>50.2</v>
      </c>
      <c r="E192" s="14">
        <v>82.3</v>
      </c>
      <c r="F192" s="14">
        <v>99.1</v>
      </c>
      <c r="G192" s="14">
        <v>146.2</v>
      </c>
      <c r="H192" s="14">
        <v>78.0</v>
      </c>
      <c r="I192" s="14">
        <v>71.6</v>
      </c>
      <c r="J192" s="9">
        <v>99.4</v>
      </c>
      <c r="K192" s="14">
        <v>159.0</v>
      </c>
      <c r="L192" s="14">
        <v>184.2</v>
      </c>
      <c r="M192" s="14">
        <v>178.5</v>
      </c>
    </row>
    <row r="193" ht="14.25" customHeight="1">
      <c r="A193" s="15">
        <v>157.0</v>
      </c>
      <c r="B193" s="13" t="s">
        <v>53</v>
      </c>
      <c r="C193" s="9">
        <v>64.3</v>
      </c>
      <c r="D193" s="14">
        <v>46.6</v>
      </c>
      <c r="E193" s="14">
        <v>75.8</v>
      </c>
      <c r="F193" s="14">
        <v>93.9</v>
      </c>
      <c r="G193" s="14">
        <v>140.9</v>
      </c>
      <c r="H193" s="14">
        <v>77.0</v>
      </c>
      <c r="I193" s="14">
        <v>70.6</v>
      </c>
      <c r="J193" s="9">
        <v>93.5</v>
      </c>
      <c r="K193" s="14">
        <v>150.5</v>
      </c>
      <c r="L193" s="14">
        <v>179.9</v>
      </c>
      <c r="M193" s="14">
        <v>174.4</v>
      </c>
    </row>
    <row r="194" ht="14.25" customHeight="1">
      <c r="A194" s="15">
        <v>158.0</v>
      </c>
      <c r="B194" s="13" t="s">
        <v>53</v>
      </c>
      <c r="C194" s="9">
        <v>60.7</v>
      </c>
      <c r="D194" s="14">
        <v>47.1</v>
      </c>
      <c r="E194" s="14">
        <v>77.6</v>
      </c>
      <c r="F194" s="14">
        <v>90.5</v>
      </c>
      <c r="G194" s="14">
        <v>135.0</v>
      </c>
      <c r="H194" s="14">
        <v>74.8</v>
      </c>
      <c r="I194" s="14">
        <v>67.0</v>
      </c>
      <c r="J194" s="9">
        <v>93.4</v>
      </c>
      <c r="K194" s="14">
        <v>148.5</v>
      </c>
      <c r="L194" s="14">
        <v>173.9</v>
      </c>
      <c r="M194" s="14">
        <v>167.9</v>
      </c>
    </row>
    <row r="195" ht="14.25" customHeight="1">
      <c r="A195" s="15">
        <v>159.0</v>
      </c>
      <c r="B195" s="13" t="s">
        <v>53</v>
      </c>
      <c r="C195" s="9">
        <v>57.7</v>
      </c>
      <c r="D195" s="14">
        <v>43.1</v>
      </c>
      <c r="E195" s="14">
        <v>74.2</v>
      </c>
      <c r="F195" s="14">
        <v>87.3</v>
      </c>
      <c r="G195" s="14">
        <v>130.8</v>
      </c>
      <c r="H195" s="14">
        <v>70.6</v>
      </c>
      <c r="I195" s="14">
        <v>67.8</v>
      </c>
      <c r="J195" s="9">
        <v>90.8</v>
      </c>
      <c r="K195" s="14">
        <v>143.0</v>
      </c>
      <c r="L195" s="14">
        <v>169.3</v>
      </c>
      <c r="M195" s="14">
        <v>162.6</v>
      </c>
    </row>
    <row r="196" ht="14.25" customHeight="1">
      <c r="A196" s="15">
        <v>160.0</v>
      </c>
      <c r="B196" s="13" t="s">
        <v>53</v>
      </c>
      <c r="C196" s="9">
        <v>69.8</v>
      </c>
      <c r="D196" s="14">
        <v>51.0</v>
      </c>
      <c r="E196" s="14">
        <v>79.0</v>
      </c>
      <c r="F196" s="14">
        <v>100.5</v>
      </c>
      <c r="G196" s="14">
        <v>147.6</v>
      </c>
      <c r="H196" s="14">
        <v>78.1</v>
      </c>
      <c r="I196" s="14">
        <v>72.2</v>
      </c>
      <c r="J196" s="9">
        <v>97.6</v>
      </c>
      <c r="K196" s="14">
        <v>161.3</v>
      </c>
      <c r="L196" s="14">
        <v>188.8</v>
      </c>
      <c r="M196" s="14">
        <v>179.8</v>
      </c>
    </row>
    <row r="197" ht="14.25" customHeight="1">
      <c r="A197" s="15">
        <v>161.0</v>
      </c>
      <c r="B197" s="13" t="s">
        <v>53</v>
      </c>
      <c r="C197" s="9">
        <v>63.7</v>
      </c>
      <c r="D197" s="14">
        <v>44.4</v>
      </c>
      <c r="E197" s="14">
        <v>78.3</v>
      </c>
      <c r="F197" s="14">
        <v>93.0</v>
      </c>
      <c r="G197" s="14">
        <v>139.3</v>
      </c>
      <c r="H197" s="14">
        <v>76.0</v>
      </c>
      <c r="I197" s="14">
        <v>69.6</v>
      </c>
      <c r="J197" s="9">
        <v>94.4</v>
      </c>
      <c r="K197" s="14">
        <v>160.4</v>
      </c>
      <c r="L197" s="14">
        <v>175.9</v>
      </c>
      <c r="M197" s="14">
        <v>169.5</v>
      </c>
    </row>
    <row r="198" ht="14.25" customHeight="1">
      <c r="A198" s="15">
        <v>162.0</v>
      </c>
      <c r="B198" s="13" t="s">
        <v>53</v>
      </c>
      <c r="C198" s="9">
        <v>72.9</v>
      </c>
      <c r="D198" s="14">
        <v>46.6</v>
      </c>
      <c r="E198" s="14">
        <v>71.7</v>
      </c>
      <c r="F198" s="14">
        <v>96.8</v>
      </c>
      <c r="G198" s="14">
        <v>145.6</v>
      </c>
      <c r="H198" s="14">
        <v>79.5</v>
      </c>
      <c r="I198" s="14">
        <v>70.0</v>
      </c>
      <c r="J198" s="9">
        <v>93.8</v>
      </c>
      <c r="K198" s="14">
        <v>153.9</v>
      </c>
      <c r="L198" s="14">
        <v>183.1</v>
      </c>
      <c r="M198" s="14">
        <v>176.4</v>
      </c>
    </row>
    <row r="199" ht="14.25" customHeight="1">
      <c r="A199" s="15">
        <v>163.0</v>
      </c>
      <c r="B199" s="13" t="s">
        <v>53</v>
      </c>
      <c r="C199" s="9">
        <v>65.7</v>
      </c>
      <c r="D199" s="14">
        <v>49.0</v>
      </c>
      <c r="E199" s="14">
        <v>81.8</v>
      </c>
      <c r="F199" s="14">
        <v>97.0</v>
      </c>
      <c r="G199" s="14">
        <v>146.3</v>
      </c>
      <c r="H199" s="14">
        <v>75.5</v>
      </c>
      <c r="I199" s="14">
        <v>70.0</v>
      </c>
      <c r="J199" s="9">
        <v>99.3</v>
      </c>
      <c r="K199" s="14">
        <v>160.9</v>
      </c>
      <c r="L199" s="14">
        <v>189.3</v>
      </c>
      <c r="M199" s="14">
        <v>183.3</v>
      </c>
    </row>
    <row r="200" ht="14.25" customHeight="1">
      <c r="A200" s="15">
        <v>164.0</v>
      </c>
      <c r="B200" s="13" t="s">
        <v>53</v>
      </c>
      <c r="C200" s="9">
        <v>71.8</v>
      </c>
      <c r="D200" s="14">
        <v>48.2</v>
      </c>
      <c r="E200" s="14">
        <v>77.1</v>
      </c>
      <c r="F200" s="14">
        <v>99.0</v>
      </c>
      <c r="G200" s="14">
        <v>145.0</v>
      </c>
      <c r="H200" s="14">
        <v>73.0</v>
      </c>
      <c r="I200" s="14">
        <v>69.1</v>
      </c>
      <c r="J200" s="9">
        <v>99.7</v>
      </c>
      <c r="K200" s="14">
        <v>166.2</v>
      </c>
      <c r="L200" s="14">
        <v>179.6</v>
      </c>
      <c r="M200" s="14">
        <v>172.7</v>
      </c>
    </row>
    <row r="201" ht="14.25" customHeight="1">
      <c r="A201" s="15">
        <v>165.0</v>
      </c>
      <c r="B201" s="13" t="s">
        <v>53</v>
      </c>
      <c r="C201" s="9">
        <v>61.6</v>
      </c>
      <c r="D201" s="14">
        <v>50.2</v>
      </c>
      <c r="E201" s="14">
        <v>76.5</v>
      </c>
      <c r="F201" s="14">
        <v>96.9</v>
      </c>
      <c r="G201" s="14">
        <v>142.5</v>
      </c>
      <c r="H201" s="14">
        <v>76.2</v>
      </c>
      <c r="I201" s="14">
        <v>68.6</v>
      </c>
      <c r="J201" s="9">
        <v>95.7</v>
      </c>
      <c r="K201" s="14">
        <v>154.9</v>
      </c>
      <c r="L201" s="14">
        <v>183.4</v>
      </c>
      <c r="M201" s="14">
        <v>177.4</v>
      </c>
    </row>
    <row r="202" ht="14.25" customHeight="1">
      <c r="A202" s="15">
        <v>166.0</v>
      </c>
      <c r="B202" s="13" t="s">
        <v>53</v>
      </c>
      <c r="C202" s="9">
        <v>65.6</v>
      </c>
      <c r="D202" s="14">
        <v>51.9</v>
      </c>
      <c r="E202" s="14">
        <v>79.6</v>
      </c>
      <c r="F202" s="14">
        <v>103.9</v>
      </c>
      <c r="G202" s="14">
        <v>153.4</v>
      </c>
      <c r="H202" s="14">
        <v>80.7</v>
      </c>
      <c r="I202" s="14">
        <v>72.7</v>
      </c>
      <c r="J202" s="9">
        <v>100.5</v>
      </c>
      <c r="K202" s="14">
        <v>154.0</v>
      </c>
      <c r="L202" s="14">
        <v>196.1</v>
      </c>
      <c r="M202" s="14">
        <v>191.0</v>
      </c>
    </row>
    <row r="203" ht="14.25" customHeight="1">
      <c r="A203" s="15">
        <v>167.0</v>
      </c>
      <c r="B203" s="13" t="s">
        <v>53</v>
      </c>
      <c r="C203" s="9">
        <v>70.4</v>
      </c>
      <c r="D203" s="14">
        <v>47.7</v>
      </c>
      <c r="E203" s="14">
        <v>78.1</v>
      </c>
      <c r="F203" s="14">
        <v>99.9</v>
      </c>
      <c r="G203" s="14">
        <v>150.0</v>
      </c>
      <c r="H203" s="14">
        <v>78.7</v>
      </c>
      <c r="I203" s="14">
        <v>68.4</v>
      </c>
      <c r="J203" s="9">
        <v>95.7</v>
      </c>
      <c r="K203" s="14">
        <v>161.1</v>
      </c>
      <c r="L203" s="14">
        <v>186.68285909868683</v>
      </c>
      <c r="M203" s="14">
        <v>180.5411270954793</v>
      </c>
    </row>
    <row r="204" ht="14.25" customHeight="1">
      <c r="A204" s="15">
        <v>41.0</v>
      </c>
      <c r="B204" s="13" t="s">
        <v>21</v>
      </c>
      <c r="C204" s="9">
        <v>126.81797003475097</v>
      </c>
      <c r="D204" s="14">
        <v>72.40854668118364</v>
      </c>
      <c r="E204" s="14">
        <v>157.8907109662187</v>
      </c>
      <c r="F204" s="14">
        <v>124.2</v>
      </c>
      <c r="G204" s="14">
        <v>194.0</v>
      </c>
      <c r="H204" s="14">
        <v>128.7</v>
      </c>
      <c r="I204" s="14">
        <v>73.2</v>
      </c>
      <c r="J204" s="9">
        <v>139.55926520010465</v>
      </c>
      <c r="K204" s="14">
        <v>251.4</v>
      </c>
      <c r="L204" s="14">
        <v>321.0</v>
      </c>
      <c r="M204" s="14">
        <v>306.0</v>
      </c>
    </row>
    <row r="205" ht="14.25" customHeight="1">
      <c r="A205" s="15">
        <v>42.0</v>
      </c>
      <c r="B205" s="13" t="s">
        <v>21</v>
      </c>
      <c r="C205" s="9">
        <v>136.2</v>
      </c>
      <c r="D205" s="14">
        <v>68.0</v>
      </c>
      <c r="E205" s="14">
        <v>155.4</v>
      </c>
      <c r="F205" s="14">
        <v>134.6</v>
      </c>
      <c r="G205" s="14">
        <v>207.2</v>
      </c>
      <c r="H205" s="14">
        <v>136.0</v>
      </c>
      <c r="I205" s="14">
        <v>84.0</v>
      </c>
      <c r="J205" s="9">
        <v>148.2</v>
      </c>
      <c r="K205" s="14">
        <v>263.8</v>
      </c>
      <c r="L205" s="14">
        <v>346.0</v>
      </c>
      <c r="M205" s="14">
        <v>328.0</v>
      </c>
    </row>
    <row r="206" ht="14.25" customHeight="1">
      <c r="A206" s="15">
        <v>43.0</v>
      </c>
      <c r="B206" s="13" t="s">
        <v>21</v>
      </c>
      <c r="C206" s="9">
        <v>139.0</v>
      </c>
      <c r="D206" s="14">
        <v>70.0</v>
      </c>
      <c r="E206" s="14">
        <v>163.3</v>
      </c>
      <c r="F206" s="14">
        <v>131.03074070590492</v>
      </c>
      <c r="G206" s="14">
        <v>199.02476517892117</v>
      </c>
      <c r="H206" s="14">
        <v>131.58707913449103</v>
      </c>
      <c r="I206" s="14">
        <v>80.0</v>
      </c>
      <c r="J206" s="9">
        <v>145.6</v>
      </c>
      <c r="K206" s="14">
        <v>255.3</v>
      </c>
      <c r="L206" s="14">
        <v>335.0</v>
      </c>
      <c r="M206" s="14">
        <v>317.0</v>
      </c>
    </row>
    <row r="207" ht="14.25" customHeight="1">
      <c r="A207" s="15">
        <v>44.0</v>
      </c>
      <c r="B207" s="13" t="s">
        <v>21</v>
      </c>
      <c r="C207" s="9">
        <v>122.4</v>
      </c>
      <c r="D207" s="14">
        <v>74.8</v>
      </c>
      <c r="E207" s="14">
        <v>165.4</v>
      </c>
      <c r="F207" s="14">
        <v>132.7</v>
      </c>
      <c r="G207" s="14">
        <v>207.8</v>
      </c>
      <c r="H207" s="14">
        <v>132.8</v>
      </c>
      <c r="I207" s="14">
        <v>80.4</v>
      </c>
      <c r="J207" s="9">
        <v>150.6</v>
      </c>
      <c r="K207" s="14">
        <v>269.8</v>
      </c>
      <c r="L207" s="14">
        <v>343.0</v>
      </c>
      <c r="M207" s="14">
        <v>323.0</v>
      </c>
    </row>
    <row r="208" ht="14.25" customHeight="1">
      <c r="A208" s="15">
        <v>45.0</v>
      </c>
      <c r="B208" s="13" t="s">
        <v>21</v>
      </c>
      <c r="C208" s="9">
        <v>141.0</v>
      </c>
      <c r="D208" s="14">
        <v>72.1</v>
      </c>
      <c r="E208" s="14">
        <v>171.8</v>
      </c>
      <c r="F208" s="14">
        <v>140.5</v>
      </c>
      <c r="G208" s="14">
        <v>204.5</v>
      </c>
      <c r="H208" s="14">
        <v>141.3</v>
      </c>
      <c r="I208" s="14">
        <v>82.0</v>
      </c>
      <c r="J208" s="9">
        <v>148.2</v>
      </c>
      <c r="K208" s="14">
        <v>275.0</v>
      </c>
      <c r="L208" s="14">
        <v>356.0</v>
      </c>
      <c r="M208" s="14">
        <v>338.0</v>
      </c>
    </row>
    <row r="209" ht="14.25" customHeight="1">
      <c r="A209" s="15">
        <v>46.0</v>
      </c>
      <c r="B209" s="13" t="s">
        <v>21</v>
      </c>
      <c r="C209" s="9">
        <v>125.1</v>
      </c>
      <c r="D209" s="14">
        <v>67.6</v>
      </c>
      <c r="E209" s="14">
        <v>160.2944406454985</v>
      </c>
      <c r="F209" s="14">
        <v>132.0</v>
      </c>
      <c r="G209" s="14">
        <v>192.0</v>
      </c>
      <c r="H209" s="14">
        <v>128.69808131502393</v>
      </c>
      <c r="I209" s="14">
        <v>80.23268148687947</v>
      </c>
      <c r="J209" s="9">
        <v>149.29850192271078</v>
      </c>
      <c r="K209" s="14">
        <v>255.01025041512816</v>
      </c>
      <c r="L209" s="14">
        <v>330.44530947899233</v>
      </c>
      <c r="M209" s="14">
        <v>314.6742199126004</v>
      </c>
    </row>
    <row r="210" ht="14.25" customHeight="1">
      <c r="A210" s="15">
        <v>47.0</v>
      </c>
      <c r="B210" s="13" t="s">
        <v>21</v>
      </c>
      <c r="C210" s="9">
        <v>130.3</v>
      </c>
      <c r="D210" s="14">
        <v>66.8</v>
      </c>
      <c r="E210" s="14">
        <v>152.0</v>
      </c>
      <c r="F210" s="14">
        <v>127.4</v>
      </c>
      <c r="G210" s="14">
        <v>196.05499178929205</v>
      </c>
      <c r="H210" s="14">
        <v>127.51319586492504</v>
      </c>
      <c r="I210" s="14">
        <v>79.78208888539463</v>
      </c>
      <c r="J210" s="9">
        <v>145.87711589024454</v>
      </c>
      <c r="K210" s="14">
        <v>248.64910271723656</v>
      </c>
      <c r="L210" s="14">
        <v>327.4899442873992</v>
      </c>
      <c r="M210" s="14">
        <v>312.5825806531015</v>
      </c>
    </row>
    <row r="211" ht="14.25" customHeight="1">
      <c r="A211" s="15">
        <v>48.0</v>
      </c>
      <c r="B211" s="13" t="s">
        <v>21</v>
      </c>
      <c r="C211" s="9">
        <v>128.4</v>
      </c>
      <c r="D211" s="14">
        <v>76.2</v>
      </c>
      <c r="E211" s="14">
        <v>147.8</v>
      </c>
      <c r="F211" s="14">
        <v>130.6</v>
      </c>
      <c r="G211" s="14">
        <v>207.2</v>
      </c>
      <c r="H211" s="14">
        <v>136.5</v>
      </c>
      <c r="I211" s="14">
        <v>81.34711882083467</v>
      </c>
      <c r="J211" s="9">
        <v>146.73081318281962</v>
      </c>
      <c r="K211" s="14">
        <v>251.5</v>
      </c>
      <c r="L211" s="14">
        <v>343.0</v>
      </c>
      <c r="M211" s="14">
        <v>327.0</v>
      </c>
    </row>
    <row r="212" ht="14.25" customHeight="1">
      <c r="A212" s="15">
        <v>49.0</v>
      </c>
      <c r="B212" s="13" t="s">
        <v>21</v>
      </c>
      <c r="C212" s="9">
        <v>132.86844521162462</v>
      </c>
      <c r="D212" s="14">
        <v>71.47525944027733</v>
      </c>
      <c r="E212" s="14">
        <v>156.0</v>
      </c>
      <c r="F212" s="14">
        <v>136.7</v>
      </c>
      <c r="G212" s="14">
        <v>209.9</v>
      </c>
      <c r="H212" s="14">
        <v>139.8</v>
      </c>
      <c r="I212" s="14">
        <v>84.58826917361043</v>
      </c>
      <c r="J212" s="9">
        <v>147.6527703123231</v>
      </c>
      <c r="K212" s="14">
        <v>272.7</v>
      </c>
      <c r="L212" s="14">
        <v>357.0</v>
      </c>
      <c r="M212" s="14">
        <v>341.0</v>
      </c>
    </row>
    <row r="213" ht="14.25" customHeight="1">
      <c r="A213" s="15">
        <v>50.0</v>
      </c>
      <c r="B213" s="13" t="s">
        <v>21</v>
      </c>
      <c r="C213" s="9">
        <v>131.5</v>
      </c>
      <c r="D213" s="14">
        <v>72.0</v>
      </c>
      <c r="E213" s="14">
        <v>166.0</v>
      </c>
      <c r="F213" s="14">
        <v>134.7</v>
      </c>
      <c r="G213" s="14">
        <v>207.0</v>
      </c>
      <c r="H213" s="14">
        <v>133.8</v>
      </c>
      <c r="I213" s="14">
        <v>81.1203408570924</v>
      </c>
      <c r="J213" s="9">
        <v>150.32211716116765</v>
      </c>
      <c r="K213" s="14">
        <v>257.0</v>
      </c>
      <c r="L213" s="14">
        <v>350.0</v>
      </c>
      <c r="M213" s="14">
        <v>332.0</v>
      </c>
    </row>
    <row r="214" ht="14.25" customHeight="1">
      <c r="A214" s="15">
        <v>51.0</v>
      </c>
      <c r="B214" s="13" t="s">
        <v>21</v>
      </c>
      <c r="C214" s="9">
        <v>134.6</v>
      </c>
      <c r="D214" s="14">
        <v>71.0</v>
      </c>
      <c r="E214" s="14">
        <v>157.7</v>
      </c>
      <c r="F214" s="14">
        <v>125.7</v>
      </c>
      <c r="G214" s="14">
        <v>190.6</v>
      </c>
      <c r="H214" s="14">
        <v>124.0</v>
      </c>
      <c r="I214" s="14">
        <v>80.0</v>
      </c>
      <c r="J214" s="9">
        <v>141.2</v>
      </c>
      <c r="K214" s="14">
        <v>252.7</v>
      </c>
      <c r="L214" s="14">
        <v>325.0</v>
      </c>
      <c r="M214" s="14">
        <v>302.0</v>
      </c>
    </row>
    <row r="215" ht="14.25" customHeight="1">
      <c r="A215" s="15">
        <v>52.0</v>
      </c>
      <c r="B215" s="13" t="s">
        <v>21</v>
      </c>
      <c r="C215" s="9">
        <v>132.7</v>
      </c>
      <c r="D215" s="14">
        <v>74.6</v>
      </c>
      <c r="E215" s="14">
        <v>157.4</v>
      </c>
      <c r="F215" s="14">
        <v>133.4</v>
      </c>
      <c r="G215" s="14">
        <v>205.30155814168293</v>
      </c>
      <c r="H215" s="14">
        <v>135.77263276568348</v>
      </c>
      <c r="I215" s="14">
        <v>82.21119070147647</v>
      </c>
      <c r="J215" s="9">
        <v>145.41042063044884</v>
      </c>
      <c r="K215" s="14">
        <v>262.346372233423</v>
      </c>
      <c r="L215" s="14">
        <v>345.2411557104181</v>
      </c>
      <c r="M215" s="14">
        <v>329.3229513057111</v>
      </c>
    </row>
    <row r="216" ht="14.25" customHeight="1">
      <c r="A216" s="15">
        <v>53.0</v>
      </c>
      <c r="B216" s="13" t="s">
        <v>21</v>
      </c>
      <c r="C216" s="9">
        <v>135.0</v>
      </c>
      <c r="D216" s="14">
        <v>72.0</v>
      </c>
      <c r="E216" s="14">
        <v>163.9</v>
      </c>
      <c r="F216" s="14">
        <v>133.50925489550337</v>
      </c>
      <c r="G216" s="14">
        <v>203.42832318505086</v>
      </c>
      <c r="H216" s="14">
        <v>135.0378918493702</v>
      </c>
      <c r="I216" s="14">
        <v>81.55785946224847</v>
      </c>
      <c r="J216" s="9">
        <v>146.71425534131492</v>
      </c>
      <c r="K216" s="14">
        <v>263.03038985860707</v>
      </c>
      <c r="L216" s="14">
        <v>342.8314974122624</v>
      </c>
      <c r="M216" s="14">
        <v>325.72082142136463</v>
      </c>
    </row>
    <row r="217" ht="14.25" customHeight="1">
      <c r="A217" s="15">
        <v>54.0</v>
      </c>
      <c r="B217" s="13" t="s">
        <v>21</v>
      </c>
      <c r="C217" s="9">
        <v>129.6</v>
      </c>
      <c r="D217" s="14">
        <v>70.2</v>
      </c>
      <c r="E217" s="14">
        <v>159.6</v>
      </c>
      <c r="F217" s="14">
        <v>132.10263087925162</v>
      </c>
      <c r="G217" s="14">
        <v>201.72166549931205</v>
      </c>
      <c r="H217" s="14">
        <v>132.83731591285908</v>
      </c>
      <c r="I217" s="14">
        <v>81.04473604356347</v>
      </c>
      <c r="J217" s="9">
        <v>148.03760134752054</v>
      </c>
      <c r="K217" s="14">
        <v>259.39382636424483</v>
      </c>
      <c r="L217" s="14">
        <v>338.7834961431513</v>
      </c>
      <c r="M217" s="14">
        <v>322.6435305953716</v>
      </c>
    </row>
    <row r="218" ht="14.25" customHeight="1">
      <c r="A218" s="15">
        <v>55.0</v>
      </c>
      <c r="B218" s="13" t="s">
        <v>21</v>
      </c>
      <c r="C218" s="9">
        <v>129.93803387969206</v>
      </c>
      <c r="D218" s="14">
        <v>70.20380183643142</v>
      </c>
      <c r="E218" s="14">
        <v>157.45913072056416</v>
      </c>
      <c r="F218" s="14">
        <v>130.10204934875898</v>
      </c>
      <c r="G218" s="14">
        <v>197.8</v>
      </c>
      <c r="H218" s="14">
        <v>130.12480461289866</v>
      </c>
      <c r="I218" s="14">
        <v>81.0</v>
      </c>
      <c r="J218" s="9">
        <v>148.1</v>
      </c>
      <c r="K218" s="14">
        <v>251.8</v>
      </c>
      <c r="L218" s="14">
        <v>331.9420867311361</v>
      </c>
      <c r="M218" s="14">
        <v>315.9662090783689</v>
      </c>
    </row>
    <row r="219" ht="14.25" customHeight="1">
      <c r="A219" s="15">
        <v>56.0</v>
      </c>
      <c r="B219" s="13" t="s">
        <v>21</v>
      </c>
      <c r="C219" s="9">
        <v>126.2</v>
      </c>
      <c r="D219" s="14">
        <v>67.9</v>
      </c>
      <c r="E219" s="14">
        <v>153.1</v>
      </c>
      <c r="F219" s="14">
        <v>133.238494973405</v>
      </c>
      <c r="G219" s="14">
        <v>205.07056073563342</v>
      </c>
      <c r="H219" s="14">
        <v>134.04660656374477</v>
      </c>
      <c r="I219" s="14">
        <v>82.7038928080122</v>
      </c>
      <c r="J219" s="9">
        <v>149.1062940901783</v>
      </c>
      <c r="K219" s="14">
        <v>264.5</v>
      </c>
      <c r="L219" s="14">
        <v>344.0</v>
      </c>
      <c r="M219" s="14">
        <v>330.0</v>
      </c>
    </row>
    <row r="220" ht="14.25" customHeight="1">
      <c r="A220" s="15">
        <v>57.0</v>
      </c>
      <c r="B220" s="13" t="s">
        <v>21</v>
      </c>
      <c r="C220" s="9">
        <v>138.2</v>
      </c>
      <c r="D220" s="14">
        <v>70.9</v>
      </c>
      <c r="E220" s="14">
        <v>160.8</v>
      </c>
      <c r="F220" s="14">
        <v>132.3</v>
      </c>
      <c r="G220" s="14">
        <v>204.7</v>
      </c>
      <c r="H220" s="14">
        <v>132.8</v>
      </c>
      <c r="I220" s="14">
        <v>81.49245018981594</v>
      </c>
      <c r="J220" s="9">
        <v>146.6622039508652</v>
      </c>
      <c r="K220" s="14">
        <v>257.3</v>
      </c>
      <c r="L220" s="14">
        <v>336.0</v>
      </c>
      <c r="M220" s="14">
        <v>321.0</v>
      </c>
    </row>
    <row r="221" ht="14.25" customHeight="1">
      <c r="A221" s="15">
        <v>58.0</v>
      </c>
      <c r="B221" s="13" t="s">
        <v>21</v>
      </c>
      <c r="C221" s="9">
        <v>141.2</v>
      </c>
      <c r="D221" s="14">
        <v>67.5</v>
      </c>
      <c r="E221" s="14">
        <v>156.0</v>
      </c>
      <c r="F221" s="14">
        <v>131.3</v>
      </c>
      <c r="G221" s="14">
        <v>206.0</v>
      </c>
      <c r="H221" s="14">
        <v>130.1</v>
      </c>
      <c r="I221" s="14">
        <v>80.9</v>
      </c>
      <c r="J221" s="9">
        <v>145.8</v>
      </c>
      <c r="K221" s="14">
        <v>253.3</v>
      </c>
      <c r="L221" s="14">
        <v>339.0</v>
      </c>
      <c r="M221" s="14">
        <v>324.0</v>
      </c>
    </row>
    <row r="222" ht="14.25" customHeight="1">
      <c r="A222" s="15">
        <v>59.0</v>
      </c>
      <c r="B222" s="13" t="s">
        <v>21</v>
      </c>
      <c r="C222" s="9">
        <v>137.2</v>
      </c>
      <c r="D222" s="14">
        <v>67.0</v>
      </c>
      <c r="E222" s="14">
        <v>158.27632554204496</v>
      </c>
      <c r="F222" s="14">
        <v>134.7</v>
      </c>
      <c r="G222" s="14">
        <v>209.2</v>
      </c>
      <c r="H222" s="14">
        <v>136.4</v>
      </c>
      <c r="I222" s="14">
        <v>83.71882384540011</v>
      </c>
      <c r="J222" s="9">
        <v>147.6459519419296</v>
      </c>
      <c r="K222" s="14">
        <v>268.4</v>
      </c>
      <c r="L222" s="14">
        <v>351.0</v>
      </c>
      <c r="M222" s="14">
        <v>336.0</v>
      </c>
    </row>
    <row r="223" ht="14.25" customHeight="1">
      <c r="A223" s="15">
        <v>60.0</v>
      </c>
      <c r="B223" s="13" t="s">
        <v>21</v>
      </c>
      <c r="C223" s="9">
        <v>136.4</v>
      </c>
      <c r="D223" s="14">
        <v>71.4</v>
      </c>
      <c r="E223" s="14">
        <v>166.2208034527817</v>
      </c>
      <c r="F223" s="14">
        <v>132.59360128744686</v>
      </c>
      <c r="G223" s="14">
        <v>200.43797897013826</v>
      </c>
      <c r="H223" s="14">
        <v>134.4900657972473</v>
      </c>
      <c r="I223" s="14">
        <v>81.4059201816535</v>
      </c>
      <c r="J223" s="9">
        <v>144.4711106105201</v>
      </c>
      <c r="K223" s="14">
        <v>269.8</v>
      </c>
      <c r="L223" s="14">
        <v>334.0</v>
      </c>
      <c r="M223" s="14">
        <v>318.0</v>
      </c>
    </row>
    <row r="224" ht="14.25" customHeight="1">
      <c r="A224" s="15">
        <v>61.0</v>
      </c>
      <c r="B224" s="13" t="s">
        <v>21</v>
      </c>
      <c r="C224" s="9">
        <v>132.6627515510171</v>
      </c>
      <c r="D224" s="14">
        <v>71.83699267780734</v>
      </c>
      <c r="E224" s="14">
        <v>161.1765861081503</v>
      </c>
      <c r="F224" s="14">
        <v>134.2</v>
      </c>
      <c r="G224" s="14">
        <v>206.4</v>
      </c>
      <c r="H224" s="14">
        <v>136.01425426959545</v>
      </c>
      <c r="I224" s="14">
        <v>82.21015203300607</v>
      </c>
      <c r="J224" s="9">
        <v>147.90972539846</v>
      </c>
      <c r="K224" s="14">
        <v>264.61777451350645</v>
      </c>
      <c r="L224" s="14">
        <v>346.2564939343629</v>
      </c>
      <c r="M224" s="14">
        <v>329.71127379152693</v>
      </c>
    </row>
    <row r="225" ht="14.25" customHeight="1">
      <c r="A225" s="15">
        <v>62.0</v>
      </c>
      <c r="B225" s="13" t="s">
        <v>21</v>
      </c>
      <c r="C225" s="9">
        <v>126.2</v>
      </c>
      <c r="D225" s="14">
        <v>72.1</v>
      </c>
      <c r="E225" s="14">
        <v>164.10193595415134</v>
      </c>
      <c r="F225" s="14">
        <v>134.2</v>
      </c>
      <c r="G225" s="14">
        <v>205.35848668809993</v>
      </c>
      <c r="H225" s="14">
        <v>135.35502370280446</v>
      </c>
      <c r="I225" s="14">
        <v>80.8</v>
      </c>
      <c r="J225" s="9">
        <v>154.5</v>
      </c>
      <c r="K225" s="14">
        <v>261.13864479097816</v>
      </c>
      <c r="L225" s="14">
        <v>341.6334245537688</v>
      </c>
      <c r="M225" s="14">
        <v>323.5137127966277</v>
      </c>
    </row>
    <row r="226" ht="14.25" customHeight="1">
      <c r="A226" s="15">
        <v>63.0</v>
      </c>
      <c r="B226" s="13" t="s">
        <v>21</v>
      </c>
      <c r="C226" s="9">
        <v>126.9</v>
      </c>
      <c r="D226" s="14">
        <v>71.9</v>
      </c>
      <c r="E226" s="14">
        <v>154.91345317512526</v>
      </c>
      <c r="F226" s="14">
        <v>129.4</v>
      </c>
      <c r="G226" s="14">
        <v>196.4</v>
      </c>
      <c r="H226" s="14">
        <v>127.7</v>
      </c>
      <c r="I226" s="14">
        <v>84.3</v>
      </c>
      <c r="J226" s="9">
        <v>148.1</v>
      </c>
      <c r="K226" s="14">
        <v>251.0</v>
      </c>
      <c r="L226" s="14">
        <v>326.0</v>
      </c>
      <c r="M226" s="14">
        <v>311.0</v>
      </c>
    </row>
    <row r="227" ht="14.25" customHeight="1">
      <c r="A227" s="15">
        <v>64.0</v>
      </c>
      <c r="B227" s="13" t="s">
        <v>21</v>
      </c>
      <c r="C227" s="9">
        <v>142.8</v>
      </c>
      <c r="D227" s="14">
        <v>76.0</v>
      </c>
      <c r="E227" s="14">
        <v>169.0</v>
      </c>
      <c r="F227" s="14">
        <v>133.0</v>
      </c>
      <c r="G227" s="14">
        <v>202.98755435203026</v>
      </c>
      <c r="H227" s="14">
        <v>136.39719478174476</v>
      </c>
      <c r="I227" s="14">
        <v>81.06594279149738</v>
      </c>
      <c r="J227" s="9">
        <v>142.53945834591164</v>
      </c>
      <c r="K227" s="14">
        <v>263.5354370126195</v>
      </c>
      <c r="L227" s="14">
        <v>342.58121103367864</v>
      </c>
      <c r="M227" s="14">
        <v>324.1322571086023</v>
      </c>
    </row>
    <row r="228" ht="14.25" customHeight="1">
      <c r="A228" s="15">
        <v>65.0</v>
      </c>
      <c r="B228" s="13" t="s">
        <v>21</v>
      </c>
      <c r="C228" s="9">
        <v>133.0</v>
      </c>
      <c r="D228" s="14">
        <v>71.1</v>
      </c>
      <c r="E228" s="14">
        <v>153.4</v>
      </c>
      <c r="F228" s="14">
        <v>131.3</v>
      </c>
      <c r="G228" s="14">
        <v>198.1</v>
      </c>
      <c r="H228" s="14">
        <v>128.1</v>
      </c>
      <c r="I228" s="14">
        <v>80.5</v>
      </c>
      <c r="J228" s="9">
        <v>146.2</v>
      </c>
      <c r="K228" s="14">
        <v>251.8</v>
      </c>
      <c r="L228" s="14">
        <v>330.1</v>
      </c>
      <c r="M228" s="14">
        <v>313.0</v>
      </c>
    </row>
    <row r="229" ht="14.25" customHeight="1">
      <c r="A229" s="15">
        <v>66.0</v>
      </c>
      <c r="B229" s="13" t="s">
        <v>21</v>
      </c>
      <c r="C229" s="9">
        <v>141.1</v>
      </c>
      <c r="D229" s="14">
        <v>72.8</v>
      </c>
      <c r="E229" s="14">
        <v>162.0</v>
      </c>
      <c r="F229" s="14">
        <v>132.4</v>
      </c>
      <c r="G229" s="14">
        <v>202.95882332072352</v>
      </c>
      <c r="H229" s="14">
        <v>134.84268203023217</v>
      </c>
      <c r="I229" s="14">
        <v>81.75841228478687</v>
      </c>
      <c r="J229" s="9">
        <v>143.40015860956993</v>
      </c>
      <c r="K229" s="14">
        <v>261.3</v>
      </c>
      <c r="L229" s="14">
        <v>342.1704797769745</v>
      </c>
      <c r="M229" s="14">
        <v>325.0682027744144</v>
      </c>
    </row>
    <row r="230" ht="14.25" customHeight="1">
      <c r="A230" s="15">
        <v>67.0</v>
      </c>
      <c r="B230" s="13" t="s">
        <v>21</v>
      </c>
      <c r="C230" s="9">
        <v>132.5</v>
      </c>
      <c r="D230" s="14">
        <v>72.3</v>
      </c>
      <c r="E230" s="14">
        <v>166.0</v>
      </c>
      <c r="F230" s="14">
        <v>138.5</v>
      </c>
      <c r="G230" s="14">
        <v>209.83264324666158</v>
      </c>
      <c r="H230" s="14">
        <v>139.50591571699425</v>
      </c>
      <c r="I230" s="14">
        <v>83.71652277411988</v>
      </c>
      <c r="J230" s="9">
        <v>150.49437619942256</v>
      </c>
      <c r="K230" s="14">
        <v>272.92725052929165</v>
      </c>
      <c r="L230" s="14">
        <v>355.4003444856574</v>
      </c>
      <c r="M230" s="14">
        <v>338.2031169146427</v>
      </c>
    </row>
    <row r="231" ht="14.25" customHeight="1">
      <c r="A231" s="15">
        <v>68.0</v>
      </c>
      <c r="B231" s="13" t="s">
        <v>21</v>
      </c>
      <c r="C231" s="9">
        <v>137.9</v>
      </c>
      <c r="D231" s="14">
        <v>73.5</v>
      </c>
      <c r="E231" s="14">
        <v>165.0</v>
      </c>
      <c r="F231" s="14">
        <v>131.1</v>
      </c>
      <c r="G231" s="14">
        <v>201.0</v>
      </c>
      <c r="H231" s="14">
        <v>137.8</v>
      </c>
      <c r="I231" s="14">
        <v>82.7</v>
      </c>
      <c r="J231" s="9">
        <v>143.1</v>
      </c>
      <c r="K231" s="14">
        <v>257.0</v>
      </c>
      <c r="L231" s="14">
        <v>339.0</v>
      </c>
      <c r="M231" s="14">
        <v>323.0</v>
      </c>
    </row>
    <row r="232" ht="14.25" customHeight="1">
      <c r="A232" s="15">
        <v>69.0</v>
      </c>
      <c r="B232" s="13" t="s">
        <v>21</v>
      </c>
      <c r="C232" s="9">
        <v>122.0</v>
      </c>
      <c r="D232" s="14">
        <v>75.4</v>
      </c>
      <c r="E232" s="14">
        <v>158.0</v>
      </c>
      <c r="F232" s="14">
        <v>130.43335828782006</v>
      </c>
      <c r="G232" s="14">
        <v>200.5581309929658</v>
      </c>
      <c r="H232" s="14">
        <v>132.59925762524364</v>
      </c>
      <c r="I232" s="14">
        <v>79.3</v>
      </c>
      <c r="J232" s="9">
        <v>146.2</v>
      </c>
      <c r="K232" s="14">
        <v>257.16950469342123</v>
      </c>
      <c r="L232" s="14">
        <v>335.1239095795963</v>
      </c>
      <c r="M232" s="14">
        <v>319.540507128939</v>
      </c>
    </row>
    <row r="233" ht="14.25" customHeight="1">
      <c r="A233" s="15">
        <v>70.0</v>
      </c>
      <c r="B233" s="13" t="s">
        <v>21</v>
      </c>
      <c r="C233" s="9">
        <v>122.4</v>
      </c>
      <c r="D233" s="14">
        <v>73.4</v>
      </c>
      <c r="E233" s="14">
        <v>165.0</v>
      </c>
      <c r="F233" s="14">
        <v>130.1</v>
      </c>
      <c r="G233" s="14">
        <v>197.5</v>
      </c>
      <c r="H233" s="14">
        <v>133.9</v>
      </c>
      <c r="I233" s="14">
        <v>78.6</v>
      </c>
      <c r="J233" s="9">
        <v>146.9</v>
      </c>
      <c r="K233" s="14">
        <v>257.0</v>
      </c>
      <c r="L233" s="14">
        <v>328.0</v>
      </c>
      <c r="M233" s="14">
        <v>312.0</v>
      </c>
    </row>
    <row r="234" ht="14.25" customHeight="1">
      <c r="A234" s="15">
        <v>71.0</v>
      </c>
      <c r="B234" s="13" t="s">
        <v>21</v>
      </c>
      <c r="C234" s="9">
        <v>123.6</v>
      </c>
      <c r="D234" s="14">
        <v>73.4</v>
      </c>
      <c r="E234" s="14">
        <v>165.17919475124978</v>
      </c>
      <c r="F234" s="14">
        <v>133.8</v>
      </c>
      <c r="G234" s="14">
        <v>200.7</v>
      </c>
      <c r="H234" s="14">
        <v>132.55529853422146</v>
      </c>
      <c r="I234" s="14">
        <v>80.34577857257518</v>
      </c>
      <c r="J234" s="9">
        <v>152.08152479591467</v>
      </c>
      <c r="K234" s="14">
        <v>260.6</v>
      </c>
      <c r="L234" s="14">
        <v>338.0</v>
      </c>
      <c r="M234" s="14">
        <v>317.0</v>
      </c>
    </row>
    <row r="235" ht="14.25" customHeight="1">
      <c r="A235" s="15">
        <v>72.0</v>
      </c>
      <c r="B235" s="13" t="s">
        <v>21</v>
      </c>
      <c r="C235" s="9">
        <v>128.2</v>
      </c>
      <c r="D235" s="14">
        <v>72.9</v>
      </c>
      <c r="E235" s="14">
        <v>162.0</v>
      </c>
      <c r="F235" s="14">
        <v>131.8</v>
      </c>
      <c r="G235" s="14">
        <v>201.4042187703824</v>
      </c>
      <c r="H235" s="14">
        <v>133.37437517339131</v>
      </c>
      <c r="I235" s="14">
        <v>80.3497317962882</v>
      </c>
      <c r="J235" s="9">
        <v>147.29044568667933</v>
      </c>
      <c r="K235" s="14">
        <v>259.69014839470043</v>
      </c>
      <c r="L235" s="14">
        <v>337.77855827198556</v>
      </c>
      <c r="M235" s="14">
        <v>321.1840953292132</v>
      </c>
    </row>
    <row r="236" ht="14.25" customHeight="1">
      <c r="A236" s="15">
        <v>73.0</v>
      </c>
      <c r="B236" s="13" t="s">
        <v>21</v>
      </c>
      <c r="C236" s="9">
        <v>135.0</v>
      </c>
      <c r="D236" s="14">
        <v>69.9</v>
      </c>
      <c r="E236" s="14">
        <v>162.0</v>
      </c>
      <c r="F236" s="14">
        <v>133.8</v>
      </c>
      <c r="G236" s="14">
        <v>203.70870703230594</v>
      </c>
      <c r="H236" s="14">
        <v>134.60064383312454</v>
      </c>
      <c r="I236" s="14">
        <v>82.04498837539306</v>
      </c>
      <c r="J236" s="9">
        <v>147.67723877366547</v>
      </c>
      <c r="K236" s="14">
        <v>262.9059075039346</v>
      </c>
      <c r="L236" s="14">
        <v>343.56230383178007</v>
      </c>
      <c r="M236" s="14">
        <v>326.85576342159817</v>
      </c>
    </row>
    <row r="237" ht="14.25" customHeight="1">
      <c r="A237" s="15">
        <v>74.0</v>
      </c>
      <c r="B237" s="13" t="s">
        <v>21</v>
      </c>
      <c r="C237" s="9">
        <v>128.3</v>
      </c>
      <c r="D237" s="14">
        <v>66.6</v>
      </c>
      <c r="E237" s="14">
        <v>158.0</v>
      </c>
      <c r="F237" s="14">
        <v>129.9</v>
      </c>
      <c r="G237" s="14">
        <v>194.4</v>
      </c>
      <c r="H237" s="14">
        <v>129.2</v>
      </c>
      <c r="I237" s="14">
        <v>81.0</v>
      </c>
      <c r="J237" s="9">
        <v>145.5</v>
      </c>
      <c r="K237" s="14">
        <v>255.2</v>
      </c>
      <c r="L237" s="14">
        <v>335.0</v>
      </c>
      <c r="M237" s="14">
        <v>321.0</v>
      </c>
    </row>
    <row r="238" ht="14.25" customHeight="1">
      <c r="A238" s="15">
        <v>75.0</v>
      </c>
      <c r="B238" s="13" t="s">
        <v>21</v>
      </c>
      <c r="C238" s="9">
        <v>136.2</v>
      </c>
      <c r="D238" s="14">
        <v>74.5</v>
      </c>
      <c r="E238" s="14">
        <v>159.0</v>
      </c>
      <c r="F238" s="14">
        <v>132.2</v>
      </c>
      <c r="G238" s="14">
        <v>201.3</v>
      </c>
      <c r="H238" s="14">
        <v>132.8</v>
      </c>
      <c r="I238" s="14">
        <v>83.2</v>
      </c>
      <c r="J238" s="9">
        <v>146.3</v>
      </c>
      <c r="K238" s="14">
        <v>256.0</v>
      </c>
      <c r="L238" s="14">
        <v>337.0</v>
      </c>
      <c r="M238" s="14">
        <v>324.0</v>
      </c>
    </row>
    <row r="239" ht="14.25" customHeight="1">
      <c r="A239" s="15">
        <v>76.0</v>
      </c>
      <c r="B239" s="13" t="s">
        <v>21</v>
      </c>
      <c r="C239" s="9">
        <v>136.7</v>
      </c>
      <c r="D239" s="14">
        <v>75.3</v>
      </c>
      <c r="E239" s="14">
        <v>160.6</v>
      </c>
      <c r="F239" s="14">
        <v>130.1</v>
      </c>
      <c r="G239" s="14">
        <v>193.7</v>
      </c>
      <c r="H239" s="14">
        <v>129.2</v>
      </c>
      <c r="I239" s="14">
        <v>78.2</v>
      </c>
      <c r="J239" s="9">
        <v>142.4</v>
      </c>
      <c r="K239" s="14">
        <v>246.7</v>
      </c>
      <c r="L239" s="14">
        <v>330.0</v>
      </c>
      <c r="M239" s="14">
        <v>314.0</v>
      </c>
    </row>
    <row r="240" ht="14.25" customHeight="1">
      <c r="A240" s="15">
        <v>77.0</v>
      </c>
      <c r="B240" s="13" t="s">
        <v>21</v>
      </c>
      <c r="C240" s="9">
        <v>123.5</v>
      </c>
      <c r="D240" s="14">
        <v>72.7</v>
      </c>
      <c r="E240" s="14">
        <v>161.0</v>
      </c>
      <c r="F240" s="14">
        <v>136.6</v>
      </c>
      <c r="G240" s="14">
        <v>209.5</v>
      </c>
      <c r="H240" s="14">
        <v>134.9</v>
      </c>
      <c r="I240" s="14">
        <v>81.9</v>
      </c>
      <c r="J240" s="9">
        <v>149.1</v>
      </c>
      <c r="K240" s="14">
        <v>267.0</v>
      </c>
      <c r="L240" s="14">
        <v>350.0</v>
      </c>
      <c r="M240" s="14">
        <v>336.0</v>
      </c>
    </row>
    <row r="241" ht="14.25" customHeight="1">
      <c r="A241" s="15">
        <v>78.0</v>
      </c>
      <c r="B241" s="13" t="s">
        <v>21</v>
      </c>
      <c r="C241" s="9">
        <v>137.8</v>
      </c>
      <c r="D241" s="14">
        <v>77.5</v>
      </c>
      <c r="E241" s="14">
        <v>164.0</v>
      </c>
      <c r="F241" s="14">
        <v>136.4</v>
      </c>
      <c r="G241" s="14">
        <v>205.0</v>
      </c>
      <c r="H241" s="14">
        <v>137.9</v>
      </c>
      <c r="I241" s="14">
        <v>83.65902394737705</v>
      </c>
      <c r="J241" s="9">
        <v>139.8954429079391</v>
      </c>
      <c r="K241" s="14">
        <v>275.0</v>
      </c>
      <c r="L241" s="14">
        <v>358.0</v>
      </c>
      <c r="M241" s="14">
        <v>342.0</v>
      </c>
    </row>
    <row r="242" ht="14.25" customHeight="1">
      <c r="A242" s="15">
        <v>79.0</v>
      </c>
      <c r="B242" s="13" t="s">
        <v>21</v>
      </c>
      <c r="C242" s="9">
        <v>132.4</v>
      </c>
      <c r="D242" s="14">
        <v>66.9</v>
      </c>
      <c r="E242" s="14">
        <v>161.0</v>
      </c>
      <c r="F242" s="14">
        <v>131.4</v>
      </c>
      <c r="G242" s="14">
        <v>203.2</v>
      </c>
      <c r="H242" s="14">
        <v>130.2</v>
      </c>
      <c r="I242" s="14">
        <v>80.88734270326538</v>
      </c>
      <c r="J242" s="9">
        <v>148.85025473769048</v>
      </c>
      <c r="K242" s="14">
        <v>257.7</v>
      </c>
      <c r="L242" s="14">
        <v>337.0</v>
      </c>
      <c r="M242" s="14">
        <v>321.0</v>
      </c>
    </row>
    <row r="243" ht="14.25" customHeight="1">
      <c r="A243" s="15">
        <v>80.0</v>
      </c>
      <c r="B243" s="13" t="s">
        <v>21</v>
      </c>
      <c r="C243" s="9">
        <v>126.5</v>
      </c>
      <c r="D243" s="14">
        <v>68.7</v>
      </c>
      <c r="E243" s="14">
        <v>152.5</v>
      </c>
      <c r="F243" s="14">
        <v>130.7</v>
      </c>
      <c r="G243" s="14">
        <v>199.6</v>
      </c>
      <c r="H243" s="14">
        <v>134.3</v>
      </c>
      <c r="I243" s="14">
        <v>78.9</v>
      </c>
      <c r="J243" s="9">
        <v>150.9</v>
      </c>
      <c r="K243" s="14">
        <v>255.3</v>
      </c>
      <c r="L243" s="14">
        <v>333.5</v>
      </c>
      <c r="M243" s="14">
        <v>320.0</v>
      </c>
    </row>
    <row r="244" ht="14.25" customHeight="1">
      <c r="A244" s="15">
        <v>81.0</v>
      </c>
      <c r="B244" s="13" t="s">
        <v>21</v>
      </c>
      <c r="C244" s="9">
        <v>127.0</v>
      </c>
      <c r="D244" s="14">
        <v>68.0</v>
      </c>
      <c r="E244" s="14">
        <v>153.5</v>
      </c>
      <c r="F244" s="14">
        <v>127.1</v>
      </c>
      <c r="G244" s="14">
        <v>192.3</v>
      </c>
      <c r="H244" s="14">
        <v>126.8</v>
      </c>
      <c r="I244" s="14">
        <v>76.4</v>
      </c>
      <c r="J244" s="9">
        <v>143.2</v>
      </c>
      <c r="K244" s="14">
        <v>242.6</v>
      </c>
      <c r="L244" s="14">
        <v>330.0</v>
      </c>
      <c r="M244" s="14">
        <v>315.0</v>
      </c>
    </row>
    <row r="245" ht="14.25" customHeight="1">
      <c r="A245" s="15">
        <v>82.0</v>
      </c>
      <c r="B245" s="13" t="s">
        <v>21</v>
      </c>
      <c r="C245" s="9">
        <v>135.5</v>
      </c>
      <c r="D245" s="14">
        <v>73.9</v>
      </c>
      <c r="E245" s="14">
        <v>160.4</v>
      </c>
      <c r="F245" s="14">
        <v>130.9</v>
      </c>
      <c r="G245" s="14">
        <v>203.5</v>
      </c>
      <c r="H245" s="14">
        <v>137.2</v>
      </c>
      <c r="I245" s="14">
        <v>80.87461618458639</v>
      </c>
      <c r="J245" s="9">
        <v>143.85356126559972</v>
      </c>
      <c r="K245" s="14">
        <v>261.7</v>
      </c>
      <c r="L245" s="14">
        <v>344.0</v>
      </c>
      <c r="M245" s="14">
        <v>326.0</v>
      </c>
    </row>
    <row r="246" ht="14.25" customHeight="1">
      <c r="A246" s="15">
        <v>83.0</v>
      </c>
      <c r="B246" s="13" t="s">
        <v>21</v>
      </c>
      <c r="C246" s="9">
        <v>130.9</v>
      </c>
      <c r="D246" s="14">
        <v>72.4</v>
      </c>
      <c r="E246" s="14">
        <v>153.8</v>
      </c>
      <c r="F246" s="14">
        <v>135.9</v>
      </c>
      <c r="G246" s="14">
        <v>209.4</v>
      </c>
      <c r="H246" s="14">
        <v>137.6</v>
      </c>
      <c r="I246" s="14">
        <v>84.3</v>
      </c>
      <c r="J246" s="9">
        <v>142.2</v>
      </c>
      <c r="K246" s="14">
        <v>271.9</v>
      </c>
      <c r="L246" s="14">
        <v>355.6801970371788</v>
      </c>
      <c r="M246" s="14">
        <v>342.2794649837019</v>
      </c>
    </row>
    <row r="247" ht="14.25" customHeight="1">
      <c r="A247" s="15">
        <v>84.0</v>
      </c>
      <c r="B247" s="13" t="s">
        <v>21</v>
      </c>
      <c r="C247" s="9">
        <v>126.1</v>
      </c>
      <c r="D247" s="14">
        <v>69.0</v>
      </c>
      <c r="E247" s="14">
        <v>165.0</v>
      </c>
      <c r="F247" s="14">
        <v>134.1</v>
      </c>
      <c r="G247" s="14">
        <v>202.5</v>
      </c>
      <c r="H247" s="14">
        <v>135.8</v>
      </c>
      <c r="I247" s="14">
        <v>83.1</v>
      </c>
      <c r="J247" s="9">
        <v>152.2</v>
      </c>
      <c r="K247" s="14">
        <v>262.2</v>
      </c>
      <c r="L247" s="14">
        <v>338.0</v>
      </c>
      <c r="M247" s="14">
        <v>327.0</v>
      </c>
    </row>
    <row r="248" ht="14.25" customHeight="1">
      <c r="A248" s="15">
        <v>85.0</v>
      </c>
      <c r="B248" s="13" t="s">
        <v>21</v>
      </c>
      <c r="C248" s="9">
        <v>132.3</v>
      </c>
      <c r="D248" s="14">
        <v>67.1</v>
      </c>
      <c r="E248" s="14">
        <v>158.0</v>
      </c>
      <c r="F248" s="14">
        <v>134.2</v>
      </c>
      <c r="G248" s="14">
        <v>204.0</v>
      </c>
      <c r="H248" s="14">
        <v>133.6</v>
      </c>
      <c r="I248" s="14">
        <v>83.0</v>
      </c>
      <c r="J248" s="9">
        <v>150.64421344176176</v>
      </c>
      <c r="K248" s="14">
        <v>264.1</v>
      </c>
      <c r="L248" s="14">
        <v>345.0</v>
      </c>
      <c r="M248" s="14">
        <v>326.0</v>
      </c>
    </row>
    <row r="249" ht="14.25" customHeight="1">
      <c r="A249" s="15">
        <v>86.0</v>
      </c>
      <c r="B249" s="13" t="s">
        <v>21</v>
      </c>
      <c r="C249" s="9">
        <v>135.0</v>
      </c>
      <c r="D249" s="14">
        <v>70.9</v>
      </c>
      <c r="E249" s="14">
        <v>169.0</v>
      </c>
      <c r="F249" s="14">
        <v>137.2</v>
      </c>
      <c r="G249" s="14">
        <v>211.4</v>
      </c>
      <c r="H249" s="14">
        <v>141.1</v>
      </c>
      <c r="I249" s="14">
        <v>84.9</v>
      </c>
      <c r="J249" s="9">
        <v>155.0</v>
      </c>
      <c r="K249" s="14">
        <v>274.2</v>
      </c>
      <c r="L249" s="14">
        <v>361.0</v>
      </c>
      <c r="M249" s="14">
        <v>337.0</v>
      </c>
    </row>
    <row r="250" ht="14.25" customHeight="1">
      <c r="A250" s="15">
        <v>87.0</v>
      </c>
      <c r="B250" s="13" t="s">
        <v>21</v>
      </c>
      <c r="C250" s="9">
        <v>133.2</v>
      </c>
      <c r="D250" s="14">
        <v>74.8</v>
      </c>
      <c r="E250" s="14">
        <v>170.0</v>
      </c>
      <c r="F250" s="14">
        <v>134.3</v>
      </c>
      <c r="G250" s="14">
        <v>208.5</v>
      </c>
      <c r="H250" s="14">
        <v>138.6</v>
      </c>
      <c r="I250" s="14">
        <v>78.2</v>
      </c>
      <c r="J250" s="9">
        <v>145.4</v>
      </c>
      <c r="K250" s="14">
        <v>266.6</v>
      </c>
      <c r="L250" s="14">
        <v>342.0</v>
      </c>
      <c r="M250" s="14">
        <v>325.0</v>
      </c>
    </row>
    <row r="251" ht="14.25" customHeight="1">
      <c r="A251" s="15">
        <v>88.0</v>
      </c>
      <c r="B251" s="13" t="s">
        <v>21</v>
      </c>
      <c r="C251" s="9">
        <v>133.1</v>
      </c>
      <c r="D251" s="14">
        <v>73.7</v>
      </c>
      <c r="E251" s="14">
        <v>155.5</v>
      </c>
      <c r="F251" s="14">
        <v>128.7</v>
      </c>
      <c r="G251" s="14">
        <v>200.8</v>
      </c>
      <c r="H251" s="14">
        <v>134.3</v>
      </c>
      <c r="I251" s="14">
        <v>81.7</v>
      </c>
      <c r="J251" s="9">
        <v>144.4</v>
      </c>
      <c r="K251" s="14">
        <v>257.4</v>
      </c>
      <c r="L251" s="14">
        <v>333.0</v>
      </c>
      <c r="M251" s="14">
        <v>320.0</v>
      </c>
    </row>
    <row r="252" ht="14.25" customHeight="1">
      <c r="A252" s="15">
        <v>89.0</v>
      </c>
      <c r="B252" s="13" t="s">
        <v>21</v>
      </c>
      <c r="C252" s="9">
        <v>130.2</v>
      </c>
      <c r="D252" s="14">
        <v>70.8</v>
      </c>
      <c r="E252" s="14">
        <v>151.76844372838485</v>
      </c>
      <c r="F252" s="14">
        <v>128.0</v>
      </c>
      <c r="G252" s="14">
        <v>202.0</v>
      </c>
      <c r="H252" s="14">
        <v>130.5</v>
      </c>
      <c r="I252" s="14">
        <v>80.7</v>
      </c>
      <c r="J252" s="9">
        <v>145.0</v>
      </c>
      <c r="K252" s="14">
        <v>251.69074637018372</v>
      </c>
      <c r="L252" s="14">
        <v>337.0</v>
      </c>
      <c r="M252" s="14">
        <v>323.0</v>
      </c>
    </row>
    <row r="253" ht="14.25" customHeight="1">
      <c r="A253" s="15">
        <v>343.0</v>
      </c>
      <c r="B253" s="13" t="s">
        <v>54</v>
      </c>
      <c r="C253" s="9">
        <v>51.2</v>
      </c>
      <c r="D253" s="14">
        <v>35.3</v>
      </c>
      <c r="E253" s="14">
        <v>61.6</v>
      </c>
      <c r="F253" s="14">
        <v>67.4</v>
      </c>
      <c r="G253" s="14">
        <v>93.0</v>
      </c>
      <c r="H253" s="14">
        <v>56.6</v>
      </c>
      <c r="I253" s="14">
        <v>42.4</v>
      </c>
      <c r="J253" s="9">
        <v>72.7</v>
      </c>
      <c r="K253" s="14">
        <v>101.1</v>
      </c>
      <c r="L253" s="14">
        <v>124.9</v>
      </c>
      <c r="M253" s="14">
        <v>118.5</v>
      </c>
    </row>
    <row r="254" ht="14.25" customHeight="1">
      <c r="A254" s="15">
        <v>344.0</v>
      </c>
      <c r="B254" s="13" t="s">
        <v>54</v>
      </c>
      <c r="C254" s="9">
        <v>50.5</v>
      </c>
      <c r="D254" s="14">
        <v>37.7</v>
      </c>
      <c r="E254" s="14">
        <v>67.8</v>
      </c>
      <c r="F254" s="14">
        <v>73.5</v>
      </c>
      <c r="G254" s="14">
        <v>100.6</v>
      </c>
      <c r="H254" s="14">
        <v>63.8</v>
      </c>
      <c r="I254" s="14">
        <v>45.8</v>
      </c>
      <c r="J254" s="9">
        <v>78.9</v>
      </c>
      <c r="K254" s="14">
        <v>108.6</v>
      </c>
      <c r="L254" s="14">
        <v>133.9</v>
      </c>
      <c r="M254" s="14">
        <v>126.1</v>
      </c>
    </row>
    <row r="255" ht="14.25" customHeight="1">
      <c r="A255" s="15">
        <v>345.0</v>
      </c>
      <c r="B255" s="13" t="s">
        <v>54</v>
      </c>
      <c r="C255" s="9">
        <v>56.4</v>
      </c>
      <c r="D255" s="14">
        <v>37.7</v>
      </c>
      <c r="E255" s="14">
        <v>68.1</v>
      </c>
      <c r="F255" s="14">
        <v>73.4</v>
      </c>
      <c r="G255" s="14">
        <v>102.3</v>
      </c>
      <c r="H255" s="14">
        <v>62.6</v>
      </c>
      <c r="I255" s="14">
        <v>47.1</v>
      </c>
      <c r="J255" s="9">
        <v>78.3</v>
      </c>
      <c r="K255" s="14">
        <v>107.8</v>
      </c>
      <c r="L255" s="14">
        <v>138.2</v>
      </c>
      <c r="M255" s="14">
        <v>129.9</v>
      </c>
    </row>
    <row r="256" ht="14.25" customHeight="1">
      <c r="A256" s="15">
        <v>346.0</v>
      </c>
      <c r="B256" s="13" t="s">
        <v>54</v>
      </c>
      <c r="C256" s="9">
        <v>53.2</v>
      </c>
      <c r="D256" s="14">
        <v>33.5</v>
      </c>
      <c r="E256" s="14">
        <v>59.7</v>
      </c>
      <c r="F256" s="14">
        <v>72.6</v>
      </c>
      <c r="G256" s="14">
        <v>98.5</v>
      </c>
      <c r="H256" s="14">
        <v>60.9</v>
      </c>
      <c r="I256" s="14">
        <v>44.5</v>
      </c>
      <c r="J256" s="9">
        <v>74.7</v>
      </c>
      <c r="K256" s="14">
        <v>108.3</v>
      </c>
      <c r="L256" s="14">
        <v>134.1</v>
      </c>
      <c r="M256" s="14">
        <v>127.3</v>
      </c>
    </row>
    <row r="257" ht="14.25" customHeight="1">
      <c r="A257" s="15">
        <v>347.0</v>
      </c>
      <c r="B257" s="13" t="s">
        <v>54</v>
      </c>
      <c r="C257" s="9">
        <v>49.5</v>
      </c>
      <c r="D257" s="14">
        <v>34.1</v>
      </c>
      <c r="E257" s="14">
        <v>59.7</v>
      </c>
      <c r="F257" s="14">
        <v>68.9</v>
      </c>
      <c r="G257" s="14">
        <v>96.0</v>
      </c>
      <c r="H257" s="14">
        <v>58.7</v>
      </c>
      <c r="I257" s="14">
        <v>44.2</v>
      </c>
      <c r="J257" s="9">
        <v>75.7</v>
      </c>
      <c r="K257" s="14">
        <v>101.3</v>
      </c>
      <c r="L257" s="14">
        <v>125.7</v>
      </c>
      <c r="M257" s="14">
        <v>119.7</v>
      </c>
    </row>
    <row r="258" ht="14.25" customHeight="1">
      <c r="A258" s="15">
        <v>348.0</v>
      </c>
      <c r="B258" s="13" t="s">
        <v>54</v>
      </c>
      <c r="C258" s="9">
        <v>48.7</v>
      </c>
      <c r="D258" s="14">
        <v>33.5</v>
      </c>
      <c r="E258" s="14">
        <v>60.6</v>
      </c>
      <c r="F258" s="14">
        <v>69.6</v>
      </c>
      <c r="G258" s="14">
        <v>97.2</v>
      </c>
      <c r="H258" s="14">
        <v>58.9</v>
      </c>
      <c r="I258" s="14">
        <v>43.4</v>
      </c>
      <c r="J258" s="9">
        <v>74.3</v>
      </c>
      <c r="K258" s="14">
        <v>102.0</v>
      </c>
      <c r="L258" s="14">
        <v>125.3</v>
      </c>
      <c r="M258" s="14">
        <v>118.9</v>
      </c>
    </row>
    <row r="259" ht="14.25" customHeight="1">
      <c r="A259" s="15">
        <v>349.0</v>
      </c>
      <c r="B259" s="13" t="s">
        <v>54</v>
      </c>
      <c r="C259" s="9">
        <v>48.6</v>
      </c>
      <c r="D259" s="14">
        <v>34.06215255240067</v>
      </c>
      <c r="E259" s="14">
        <v>57.74790089320704</v>
      </c>
      <c r="F259" s="14">
        <v>66.9</v>
      </c>
      <c r="G259" s="14">
        <v>96.3</v>
      </c>
      <c r="H259" s="14">
        <v>58.2</v>
      </c>
      <c r="I259" s="14">
        <v>41.079897551306146</v>
      </c>
      <c r="J259" s="9">
        <v>73.40687131034123</v>
      </c>
      <c r="K259" s="14">
        <v>102.0</v>
      </c>
      <c r="L259" s="14">
        <v>126.6</v>
      </c>
      <c r="M259" s="14">
        <v>121.9</v>
      </c>
    </row>
    <row r="260" ht="14.25" customHeight="1">
      <c r="A260" s="15">
        <v>350.0</v>
      </c>
      <c r="B260" s="13" t="s">
        <v>54</v>
      </c>
      <c r="C260" s="9">
        <v>52.6</v>
      </c>
      <c r="D260" s="14">
        <v>40.3</v>
      </c>
      <c r="E260" s="14">
        <v>66.4</v>
      </c>
      <c r="F260" s="14">
        <v>73.5</v>
      </c>
      <c r="G260" s="14">
        <v>101.0</v>
      </c>
      <c r="H260" s="14">
        <v>61.8</v>
      </c>
      <c r="I260" s="14">
        <v>45.6</v>
      </c>
      <c r="J260" s="9">
        <v>78.1</v>
      </c>
      <c r="K260" s="14">
        <v>108.4</v>
      </c>
      <c r="L260" s="14">
        <v>135.6</v>
      </c>
      <c r="M260" s="14">
        <v>127.7</v>
      </c>
    </row>
    <row r="261" ht="14.25" customHeight="1">
      <c r="A261" s="15">
        <v>351.0</v>
      </c>
      <c r="B261" s="13" t="s">
        <v>54</v>
      </c>
      <c r="C261" s="9">
        <v>53.7</v>
      </c>
      <c r="D261" s="14">
        <v>36.5</v>
      </c>
      <c r="E261" s="14">
        <v>63.3</v>
      </c>
      <c r="F261" s="14">
        <v>75.4</v>
      </c>
      <c r="G261" s="14">
        <v>102.2</v>
      </c>
      <c r="H261" s="14">
        <v>63.7</v>
      </c>
      <c r="I261" s="14">
        <v>44.7</v>
      </c>
      <c r="J261" s="9">
        <v>78.9</v>
      </c>
      <c r="K261" s="14">
        <v>109.7</v>
      </c>
      <c r="L261" s="14">
        <v>135.4</v>
      </c>
      <c r="M261" s="14">
        <v>128.0</v>
      </c>
    </row>
    <row r="262" ht="14.25" customHeight="1">
      <c r="A262" s="15">
        <v>352.0</v>
      </c>
      <c r="B262" s="13" t="s">
        <v>54</v>
      </c>
      <c r="C262" s="9">
        <v>49.4</v>
      </c>
      <c r="D262" s="14">
        <v>34.0</v>
      </c>
      <c r="E262" s="14">
        <v>56.8</v>
      </c>
      <c r="F262" s="14">
        <v>66.5</v>
      </c>
      <c r="G262" s="14">
        <v>94.2</v>
      </c>
      <c r="H262" s="14">
        <v>57.8</v>
      </c>
      <c r="I262" s="14">
        <v>41.9</v>
      </c>
      <c r="J262" s="9">
        <v>73.1</v>
      </c>
      <c r="K262" s="14">
        <v>97.1</v>
      </c>
      <c r="L262" s="14">
        <v>122.9</v>
      </c>
      <c r="M262" s="14">
        <v>116.8</v>
      </c>
    </row>
    <row r="263" ht="14.25" customHeight="1">
      <c r="A263" s="15">
        <v>353.0</v>
      </c>
      <c r="B263" s="13" t="s">
        <v>54</v>
      </c>
      <c r="C263" s="9">
        <v>56.2</v>
      </c>
      <c r="D263" s="14">
        <v>38.1</v>
      </c>
      <c r="E263" s="14">
        <v>64.4</v>
      </c>
      <c r="F263" s="14">
        <v>74.1</v>
      </c>
      <c r="G263" s="14">
        <v>101.5</v>
      </c>
      <c r="H263" s="14">
        <v>62.0</v>
      </c>
      <c r="I263" s="14">
        <v>44.9</v>
      </c>
      <c r="J263" s="9">
        <v>77.5</v>
      </c>
      <c r="K263" s="14">
        <v>110.0</v>
      </c>
      <c r="L263" s="14">
        <v>135.9</v>
      </c>
      <c r="M263" s="14">
        <v>128.4</v>
      </c>
    </row>
    <row r="264" ht="14.25" customHeight="1">
      <c r="A264" s="15">
        <v>354.0</v>
      </c>
      <c r="B264" s="13" t="s">
        <v>54</v>
      </c>
      <c r="C264" s="9">
        <v>55.0</v>
      </c>
      <c r="D264" s="14">
        <v>37.6</v>
      </c>
      <c r="E264" s="14">
        <v>67.4</v>
      </c>
      <c r="F264" s="14">
        <v>75.2</v>
      </c>
      <c r="G264" s="14">
        <v>103.2</v>
      </c>
      <c r="H264" s="14">
        <v>63.2</v>
      </c>
      <c r="I264" s="14">
        <v>45.8</v>
      </c>
      <c r="J264" s="9">
        <v>79.3</v>
      </c>
      <c r="K264" s="14">
        <v>112.5</v>
      </c>
      <c r="L264" s="14">
        <v>140.2</v>
      </c>
      <c r="M264" s="14">
        <v>132.2</v>
      </c>
    </row>
    <row r="265" ht="14.25" customHeight="1">
      <c r="A265" s="15">
        <v>355.0</v>
      </c>
      <c r="B265" s="13" t="s">
        <v>54</v>
      </c>
      <c r="C265" s="9">
        <v>51.6</v>
      </c>
      <c r="D265" s="14">
        <v>36.3</v>
      </c>
      <c r="E265" s="14">
        <v>64.1</v>
      </c>
      <c r="F265" s="14">
        <v>73.2</v>
      </c>
      <c r="G265" s="14">
        <v>101.2</v>
      </c>
      <c r="H265" s="14">
        <v>62.2</v>
      </c>
      <c r="I265" s="14">
        <v>46.0</v>
      </c>
      <c r="J265" s="9">
        <v>76.3</v>
      </c>
      <c r="K265" s="14">
        <v>108.2</v>
      </c>
      <c r="L265" s="14">
        <v>134.7</v>
      </c>
      <c r="M265" s="14">
        <v>129.9</v>
      </c>
    </row>
    <row r="266" ht="14.25" customHeight="1">
      <c r="A266" s="15">
        <v>356.0</v>
      </c>
      <c r="B266" s="13" t="s">
        <v>54</v>
      </c>
      <c r="C266" s="9">
        <v>50.2</v>
      </c>
      <c r="D266" s="14">
        <v>32.1</v>
      </c>
      <c r="E266" s="14">
        <v>60.7</v>
      </c>
      <c r="F266" s="14">
        <v>68.8</v>
      </c>
      <c r="G266" s="14">
        <v>95.6</v>
      </c>
      <c r="H266" s="14">
        <v>57.5</v>
      </c>
      <c r="I266" s="14">
        <v>44.06784746967404</v>
      </c>
      <c r="J266" s="9">
        <v>73.91241270913389</v>
      </c>
      <c r="K266" s="14">
        <v>101.0</v>
      </c>
      <c r="L266" s="14">
        <v>127.1</v>
      </c>
      <c r="M266" s="14">
        <v>120.5</v>
      </c>
    </row>
    <row r="267" ht="14.25" customHeight="1">
      <c r="A267" s="15">
        <v>357.0</v>
      </c>
      <c r="B267" s="13" t="s">
        <v>54</v>
      </c>
      <c r="C267" s="9">
        <v>48.0</v>
      </c>
      <c r="D267" s="14">
        <v>32.5</v>
      </c>
      <c r="E267" s="14">
        <v>57.8</v>
      </c>
      <c r="F267" s="14">
        <v>67.3</v>
      </c>
      <c r="G267" s="14">
        <v>92.7</v>
      </c>
      <c r="H267" s="14">
        <v>57.0</v>
      </c>
      <c r="I267" s="14">
        <v>42.1</v>
      </c>
      <c r="J267" s="9">
        <v>69.0</v>
      </c>
      <c r="K267" s="14">
        <v>98.4</v>
      </c>
      <c r="L267" s="14">
        <v>120.9</v>
      </c>
      <c r="M267" s="14">
        <v>115.4</v>
      </c>
    </row>
    <row r="268" ht="14.25" customHeight="1">
      <c r="A268" s="15">
        <v>358.0</v>
      </c>
      <c r="B268" s="13" t="s">
        <v>54</v>
      </c>
      <c r="C268" s="9">
        <v>47.9</v>
      </c>
      <c r="D268" s="14">
        <v>34.6</v>
      </c>
      <c r="E268" s="14">
        <v>59.3</v>
      </c>
      <c r="F268" s="14">
        <v>67.0</v>
      </c>
      <c r="G268" s="14">
        <v>92.9</v>
      </c>
      <c r="H268" s="14">
        <v>55.3</v>
      </c>
      <c r="I268" s="14">
        <v>42.8</v>
      </c>
      <c r="J268" s="9">
        <v>73.3</v>
      </c>
      <c r="K268" s="14">
        <v>96.7</v>
      </c>
      <c r="L268" s="14">
        <v>122.2</v>
      </c>
      <c r="M268" s="14">
        <v>114.9</v>
      </c>
    </row>
    <row r="269" ht="14.25" customHeight="1">
      <c r="A269" s="15">
        <v>359.0</v>
      </c>
      <c r="B269" s="13" t="s">
        <v>54</v>
      </c>
      <c r="C269" s="9">
        <v>49.9</v>
      </c>
      <c r="D269" s="14">
        <v>34.7</v>
      </c>
      <c r="E269" s="14">
        <v>60.0</v>
      </c>
      <c r="F269" s="14">
        <v>66.6</v>
      </c>
      <c r="G269" s="14">
        <v>93.1</v>
      </c>
      <c r="H269" s="14">
        <v>51.2</v>
      </c>
      <c r="I269" s="14">
        <v>44.4</v>
      </c>
      <c r="J269" s="9">
        <v>68.0</v>
      </c>
      <c r="K269" s="14">
        <v>97.5</v>
      </c>
      <c r="L269" s="14">
        <v>120.6</v>
      </c>
      <c r="M269" s="14">
        <v>113.8</v>
      </c>
    </row>
    <row r="270" ht="14.25" customHeight="1">
      <c r="A270" s="15">
        <v>360.0</v>
      </c>
      <c r="B270" s="13" t="s">
        <v>54</v>
      </c>
      <c r="C270" s="9">
        <v>53.7</v>
      </c>
      <c r="D270" s="14">
        <v>36.4</v>
      </c>
      <c r="E270" s="14">
        <v>60.6</v>
      </c>
      <c r="F270" s="14">
        <v>71.1</v>
      </c>
      <c r="G270" s="14">
        <v>100.3</v>
      </c>
      <c r="H270" s="14">
        <v>61.3</v>
      </c>
      <c r="I270" s="14">
        <v>41.7</v>
      </c>
      <c r="J270" s="9">
        <v>75.4</v>
      </c>
      <c r="K270" s="14">
        <v>108.7</v>
      </c>
      <c r="L270" s="14">
        <v>133.5</v>
      </c>
      <c r="M270" s="14">
        <v>126.7</v>
      </c>
    </row>
    <row r="271" ht="14.25" customHeight="1">
      <c r="A271" s="15">
        <v>361.0</v>
      </c>
      <c r="B271" s="13" t="s">
        <v>54</v>
      </c>
      <c r="C271" s="9">
        <v>52.5</v>
      </c>
      <c r="D271" s="14">
        <v>35.5</v>
      </c>
      <c r="E271" s="14">
        <v>60.3807595785877</v>
      </c>
      <c r="F271" s="14">
        <v>73.0</v>
      </c>
      <c r="G271" s="14">
        <v>101.2</v>
      </c>
      <c r="H271" s="14">
        <v>62.1</v>
      </c>
      <c r="I271" s="14">
        <v>41.0</v>
      </c>
      <c r="J271" s="9">
        <v>72.5</v>
      </c>
      <c r="K271" s="14">
        <v>107.8</v>
      </c>
      <c r="L271" s="14">
        <v>132.3</v>
      </c>
      <c r="M271" s="14">
        <v>127.96411965404538</v>
      </c>
    </row>
    <row r="272" ht="14.25" customHeight="1">
      <c r="A272" s="15">
        <v>362.0</v>
      </c>
      <c r="B272" s="13" t="s">
        <v>54</v>
      </c>
      <c r="C272" s="9">
        <v>53.2</v>
      </c>
      <c r="D272" s="14">
        <v>35.4</v>
      </c>
      <c r="E272" s="14">
        <v>63.8</v>
      </c>
      <c r="F272" s="14">
        <v>76.3</v>
      </c>
      <c r="G272" s="14">
        <v>105.2</v>
      </c>
      <c r="H272" s="14">
        <v>64.3</v>
      </c>
      <c r="I272" s="14">
        <v>44.4</v>
      </c>
      <c r="J272" s="9">
        <v>79.3</v>
      </c>
      <c r="K272" s="14">
        <v>110.4</v>
      </c>
      <c r="L272" s="14">
        <v>138.8</v>
      </c>
      <c r="M272" s="14">
        <v>133.2</v>
      </c>
    </row>
    <row r="273" ht="14.25" customHeight="1">
      <c r="A273" s="15">
        <v>363.0</v>
      </c>
      <c r="B273" s="13" t="s">
        <v>54</v>
      </c>
      <c r="C273" s="9">
        <v>51.9</v>
      </c>
      <c r="D273" s="14">
        <v>36.4</v>
      </c>
      <c r="E273" s="14">
        <v>66.9</v>
      </c>
      <c r="F273" s="14">
        <v>75.4</v>
      </c>
      <c r="G273" s="14">
        <v>104.6</v>
      </c>
      <c r="H273" s="14">
        <v>63.7</v>
      </c>
      <c r="I273" s="14">
        <v>45.7</v>
      </c>
      <c r="J273" s="9">
        <v>80.1</v>
      </c>
      <c r="K273" s="14">
        <v>112.6</v>
      </c>
      <c r="L273" s="14">
        <v>140.2</v>
      </c>
      <c r="M273" s="14">
        <v>132.9</v>
      </c>
    </row>
    <row r="274" ht="14.25" customHeight="1">
      <c r="A274" s="15">
        <v>364.0</v>
      </c>
      <c r="B274" s="13" t="s">
        <v>54</v>
      </c>
      <c r="C274" s="9">
        <v>55.8</v>
      </c>
      <c r="D274" s="14">
        <v>38.5</v>
      </c>
      <c r="E274" s="14">
        <v>66.5</v>
      </c>
      <c r="F274" s="14">
        <v>74.7</v>
      </c>
      <c r="G274" s="14">
        <v>102.0</v>
      </c>
      <c r="H274" s="14">
        <v>62.7</v>
      </c>
      <c r="I274" s="14">
        <v>45.0</v>
      </c>
      <c r="J274" s="9">
        <v>76.1</v>
      </c>
      <c r="K274" s="14">
        <v>110.5</v>
      </c>
      <c r="L274" s="14">
        <v>135.3</v>
      </c>
      <c r="M274" s="14">
        <v>128.5</v>
      </c>
    </row>
    <row r="275" ht="14.25" customHeight="1">
      <c r="A275" s="15">
        <v>365.0</v>
      </c>
      <c r="B275" s="13" t="s">
        <v>54</v>
      </c>
      <c r="C275" s="9">
        <v>48.5</v>
      </c>
      <c r="D275" s="14">
        <v>34.3</v>
      </c>
      <c r="E275" s="14">
        <v>56.3</v>
      </c>
      <c r="F275" s="14">
        <v>64.6</v>
      </c>
      <c r="G275" s="14">
        <v>91.8</v>
      </c>
      <c r="H275" s="14">
        <v>57.3</v>
      </c>
      <c r="I275" s="14">
        <v>42.9</v>
      </c>
      <c r="J275" s="9">
        <v>73.6</v>
      </c>
      <c r="K275" s="14">
        <v>96.3</v>
      </c>
      <c r="L275" s="14">
        <v>122.4</v>
      </c>
      <c r="M275" s="14">
        <v>115.2</v>
      </c>
    </row>
    <row r="276" ht="14.25" customHeight="1">
      <c r="A276" s="15">
        <v>366.0</v>
      </c>
      <c r="B276" s="13" t="s">
        <v>54</v>
      </c>
      <c r="C276" s="9">
        <v>52.9</v>
      </c>
      <c r="D276" s="14">
        <v>36.0</v>
      </c>
      <c r="E276" s="14">
        <v>64.1</v>
      </c>
      <c r="F276" s="14">
        <v>72.8</v>
      </c>
      <c r="G276" s="14">
        <v>98.5</v>
      </c>
      <c r="H276" s="14">
        <v>62.2</v>
      </c>
      <c r="I276" s="14">
        <v>44.5</v>
      </c>
      <c r="J276" s="9">
        <v>76.8</v>
      </c>
      <c r="K276" s="14">
        <v>108.3</v>
      </c>
      <c r="L276" s="14">
        <v>136.6</v>
      </c>
      <c r="M276" s="14">
        <v>130.0</v>
      </c>
    </row>
    <row r="277" ht="14.25" customHeight="1">
      <c r="A277" s="15">
        <v>367.0</v>
      </c>
      <c r="B277" s="13" t="s">
        <v>54</v>
      </c>
      <c r="C277" s="9">
        <v>52.9</v>
      </c>
      <c r="D277" s="14">
        <v>36.5</v>
      </c>
      <c r="E277" s="14">
        <v>62.7</v>
      </c>
      <c r="F277" s="14">
        <v>73.3</v>
      </c>
      <c r="G277" s="14">
        <v>103.1</v>
      </c>
      <c r="H277" s="14">
        <v>64.3</v>
      </c>
      <c r="I277" s="14">
        <v>45.4</v>
      </c>
      <c r="J277" s="9">
        <v>77.3</v>
      </c>
      <c r="K277" s="14">
        <v>110.4</v>
      </c>
      <c r="L277" s="14">
        <v>134.4</v>
      </c>
      <c r="M277" s="14">
        <v>125.4</v>
      </c>
    </row>
    <row r="278" ht="14.25" customHeight="1">
      <c r="A278" s="15">
        <v>368.0</v>
      </c>
      <c r="B278" s="13" t="s">
        <v>54</v>
      </c>
      <c r="C278" s="9">
        <v>55.3</v>
      </c>
      <c r="D278" s="14">
        <v>37.8</v>
      </c>
      <c r="E278" s="14">
        <v>64.5</v>
      </c>
      <c r="F278" s="14">
        <v>71.7</v>
      </c>
      <c r="G278" s="14">
        <v>101.0</v>
      </c>
      <c r="H278" s="14">
        <v>62.9</v>
      </c>
      <c r="I278" s="14">
        <v>43.2</v>
      </c>
      <c r="J278" s="9">
        <v>73.0</v>
      </c>
      <c r="K278" s="14">
        <v>105.9</v>
      </c>
      <c r="L278" s="14">
        <v>132.3</v>
      </c>
      <c r="M278" s="14">
        <v>125.2</v>
      </c>
    </row>
    <row r="279" ht="14.25" customHeight="1">
      <c r="A279" s="15">
        <v>369.0</v>
      </c>
      <c r="B279" s="13" t="s">
        <v>54</v>
      </c>
      <c r="C279" s="9">
        <v>46.5</v>
      </c>
      <c r="D279" s="14">
        <v>31.4</v>
      </c>
      <c r="E279" s="14">
        <v>55.2</v>
      </c>
      <c r="F279" s="14">
        <v>64.6</v>
      </c>
      <c r="G279" s="14">
        <v>89.9</v>
      </c>
      <c r="H279" s="14">
        <v>55.9</v>
      </c>
      <c r="I279" s="14">
        <v>43.1</v>
      </c>
      <c r="J279" s="9">
        <v>70.77778511227484</v>
      </c>
      <c r="K279" s="14">
        <v>94.3</v>
      </c>
      <c r="L279" s="14">
        <v>115.8</v>
      </c>
      <c r="M279" s="14">
        <v>104.3</v>
      </c>
    </row>
    <row r="280" ht="14.25" customHeight="1">
      <c r="A280" s="15">
        <v>370.0</v>
      </c>
      <c r="B280" s="13" t="s">
        <v>54</v>
      </c>
      <c r="C280" s="9">
        <v>49.2</v>
      </c>
      <c r="D280" s="14">
        <v>33.0</v>
      </c>
      <c r="E280" s="14">
        <v>59.8</v>
      </c>
      <c r="F280" s="14">
        <v>71.2</v>
      </c>
      <c r="G280" s="14">
        <v>96.2</v>
      </c>
      <c r="H280" s="14">
        <v>59.6</v>
      </c>
      <c r="I280" s="14">
        <v>43.1</v>
      </c>
      <c r="J280" s="9">
        <v>75.4</v>
      </c>
      <c r="K280" s="14">
        <v>103.8</v>
      </c>
      <c r="L280" s="14">
        <v>129.3</v>
      </c>
      <c r="M280" s="14">
        <v>122.7</v>
      </c>
    </row>
    <row r="281" ht="14.25" customHeight="1">
      <c r="A281" s="15">
        <v>371.0</v>
      </c>
      <c r="B281" s="13" t="s">
        <v>54</v>
      </c>
      <c r="C281" s="9">
        <v>55.8</v>
      </c>
      <c r="D281" s="14">
        <v>35.9</v>
      </c>
      <c r="E281" s="14">
        <v>65.8</v>
      </c>
      <c r="F281" s="14">
        <v>76.9</v>
      </c>
      <c r="G281" s="14">
        <v>103.0</v>
      </c>
      <c r="H281" s="14">
        <v>65.3</v>
      </c>
      <c r="I281" s="14">
        <v>45.7</v>
      </c>
      <c r="J281" s="9">
        <v>76.0</v>
      </c>
      <c r="K281" s="14">
        <v>110.7</v>
      </c>
      <c r="L281" s="14">
        <v>130.0</v>
      </c>
      <c r="M281" s="14">
        <v>128.6</v>
      </c>
    </row>
    <row r="282" ht="14.25" customHeight="1">
      <c r="A282" s="15">
        <v>372.0</v>
      </c>
      <c r="B282" s="13" t="s">
        <v>54</v>
      </c>
      <c r="C282" s="9">
        <v>50.5</v>
      </c>
      <c r="D282" s="14">
        <v>34.2</v>
      </c>
      <c r="E282" s="14">
        <v>59.8</v>
      </c>
      <c r="F282" s="14">
        <v>67.3</v>
      </c>
      <c r="G282" s="14">
        <v>94.7</v>
      </c>
      <c r="H282" s="14">
        <v>56.0</v>
      </c>
      <c r="I282" s="14">
        <v>42.2</v>
      </c>
      <c r="J282" s="9">
        <v>74.6</v>
      </c>
      <c r="K282" s="14">
        <v>99.7</v>
      </c>
      <c r="L282" s="14">
        <v>123.4</v>
      </c>
      <c r="M282" s="14">
        <v>116.8</v>
      </c>
    </row>
    <row r="283" ht="14.25" customHeight="1">
      <c r="A283" s="15">
        <v>373.0</v>
      </c>
      <c r="B283" s="13" t="s">
        <v>54</v>
      </c>
      <c r="C283" s="9">
        <v>48.2</v>
      </c>
      <c r="D283" s="14">
        <v>32.3</v>
      </c>
      <c r="E283" s="14">
        <v>54.8</v>
      </c>
      <c r="F283" s="14">
        <v>66.6</v>
      </c>
      <c r="G283" s="14">
        <v>90.5</v>
      </c>
      <c r="H283" s="14">
        <v>56.2</v>
      </c>
      <c r="I283" s="14">
        <v>42.4</v>
      </c>
      <c r="J283" s="9">
        <v>67.6</v>
      </c>
      <c r="K283" s="14">
        <v>96.7</v>
      </c>
      <c r="L283" s="14">
        <v>119.7</v>
      </c>
      <c r="M283" s="14">
        <v>113.0</v>
      </c>
    </row>
    <row r="284" ht="14.25" customHeight="1">
      <c r="A284" s="15">
        <v>374.0</v>
      </c>
      <c r="B284" s="13" t="s">
        <v>54</v>
      </c>
      <c r="C284" s="9">
        <v>50.5</v>
      </c>
      <c r="D284" s="14">
        <v>35.0</v>
      </c>
      <c r="E284" s="14">
        <v>60.3</v>
      </c>
      <c r="F284" s="14">
        <v>69.8</v>
      </c>
      <c r="G284" s="14">
        <v>97.9</v>
      </c>
      <c r="H284" s="14">
        <v>59.4</v>
      </c>
      <c r="I284" s="14">
        <v>43.6</v>
      </c>
      <c r="J284" s="9">
        <v>75.8</v>
      </c>
      <c r="K284" s="14">
        <v>102.7</v>
      </c>
      <c r="L284" s="14">
        <v>128.2</v>
      </c>
      <c r="M284" s="14">
        <v>122.2</v>
      </c>
    </row>
    <row r="285" ht="14.25" customHeight="1">
      <c r="A285" s="15">
        <v>375.0</v>
      </c>
      <c r="B285" s="13" t="s">
        <v>54</v>
      </c>
      <c r="C285" s="9">
        <v>51.5</v>
      </c>
      <c r="D285" s="14">
        <v>35.8</v>
      </c>
      <c r="E285" s="14">
        <v>60.72389296764319</v>
      </c>
      <c r="F285" s="14">
        <v>70.8</v>
      </c>
      <c r="G285" s="14">
        <v>99.5</v>
      </c>
      <c r="H285" s="14">
        <v>61.8</v>
      </c>
      <c r="I285" s="14">
        <v>41.9</v>
      </c>
      <c r="J285" s="9">
        <v>76.4</v>
      </c>
      <c r="K285" s="14">
        <v>106.6</v>
      </c>
      <c r="L285" s="14">
        <v>134.3</v>
      </c>
      <c r="M285" s="14">
        <v>127.3</v>
      </c>
    </row>
    <row r="286" ht="14.25" customHeight="1">
      <c r="A286" s="15">
        <v>376.0</v>
      </c>
      <c r="B286" s="13" t="s">
        <v>54</v>
      </c>
      <c r="C286" s="9">
        <v>53.87363475494505</v>
      </c>
      <c r="D286" s="14">
        <v>37.640317777754966</v>
      </c>
      <c r="E286" s="14">
        <v>66.48414535639665</v>
      </c>
      <c r="F286" s="14">
        <v>74.0</v>
      </c>
      <c r="G286" s="14">
        <v>102.8</v>
      </c>
      <c r="H286" s="14">
        <v>63.8</v>
      </c>
      <c r="I286" s="14">
        <v>46.1</v>
      </c>
      <c r="J286" s="9">
        <v>79.9</v>
      </c>
      <c r="K286" s="14">
        <v>110.9</v>
      </c>
      <c r="L286" s="14">
        <v>138.4</v>
      </c>
      <c r="M286" s="14">
        <v>131.5</v>
      </c>
    </row>
    <row r="287" ht="14.25" customHeight="1">
      <c r="A287" s="15">
        <v>775.0</v>
      </c>
      <c r="B287" s="13" t="s">
        <v>55</v>
      </c>
      <c r="C287" s="9">
        <v>29.2</v>
      </c>
      <c r="D287" s="14">
        <v>20.8</v>
      </c>
      <c r="E287" s="14">
        <v>33.9</v>
      </c>
      <c r="F287" s="14">
        <v>36.6</v>
      </c>
      <c r="G287" s="14">
        <v>48.7</v>
      </c>
      <c r="H287" s="14">
        <v>31.6</v>
      </c>
      <c r="I287" s="14">
        <v>26.1</v>
      </c>
      <c r="J287" s="9">
        <v>42.8</v>
      </c>
      <c r="K287" s="14">
        <v>49.1</v>
      </c>
      <c r="L287" s="14">
        <v>56.1</v>
      </c>
      <c r="M287" s="14">
        <v>51.7</v>
      </c>
    </row>
    <row r="288" ht="14.25" customHeight="1">
      <c r="A288" s="15">
        <v>776.0</v>
      </c>
      <c r="B288" s="13" t="s">
        <v>55</v>
      </c>
      <c r="C288" s="9">
        <v>27.0</v>
      </c>
      <c r="D288" s="14">
        <v>19.9</v>
      </c>
      <c r="E288" s="14">
        <v>24.041975460809326</v>
      </c>
      <c r="F288" s="14">
        <v>33.7</v>
      </c>
      <c r="G288" s="14">
        <v>44.0</v>
      </c>
      <c r="H288" s="14">
        <v>28.7</v>
      </c>
      <c r="I288" s="14">
        <v>20.999086580901608</v>
      </c>
      <c r="J288" s="9">
        <v>38.483391491888334</v>
      </c>
      <c r="K288" s="14">
        <v>44.6</v>
      </c>
      <c r="L288" s="14">
        <v>47.2</v>
      </c>
      <c r="M288" s="14">
        <v>46.5</v>
      </c>
    </row>
    <row r="289" ht="14.25" customHeight="1">
      <c r="A289" s="15">
        <v>777.0</v>
      </c>
      <c r="B289" s="13" t="s">
        <v>55</v>
      </c>
      <c r="C289" s="9">
        <v>29.0</v>
      </c>
      <c r="D289" s="14">
        <v>20.7</v>
      </c>
      <c r="E289" s="14">
        <v>31.8</v>
      </c>
      <c r="F289" s="14">
        <v>35.7</v>
      </c>
      <c r="G289" s="14">
        <v>47.2</v>
      </c>
      <c r="H289" s="14">
        <v>30.9</v>
      </c>
      <c r="I289" s="14">
        <v>25.2</v>
      </c>
      <c r="J289" s="9">
        <v>42.1</v>
      </c>
      <c r="K289" s="14">
        <v>49.0</v>
      </c>
      <c r="L289" s="14">
        <v>56.8</v>
      </c>
      <c r="M289" s="14">
        <v>51.9</v>
      </c>
    </row>
    <row r="290" ht="14.25" customHeight="1">
      <c r="A290" s="15">
        <v>778.0</v>
      </c>
      <c r="B290" s="13" t="s">
        <v>55</v>
      </c>
      <c r="C290" s="9">
        <v>27.5</v>
      </c>
      <c r="D290" s="14">
        <v>20.3</v>
      </c>
      <c r="E290" s="14">
        <v>27.5</v>
      </c>
      <c r="F290" s="14">
        <v>35.3</v>
      </c>
      <c r="G290" s="14">
        <v>46.0</v>
      </c>
      <c r="H290" s="14">
        <v>30.1</v>
      </c>
      <c r="I290" s="14">
        <v>22.8</v>
      </c>
      <c r="J290" s="9">
        <v>39.93175494357859</v>
      </c>
      <c r="K290" s="14">
        <v>47.6</v>
      </c>
      <c r="L290" s="14">
        <v>54.3</v>
      </c>
      <c r="M290" s="14">
        <v>50.8</v>
      </c>
    </row>
    <row r="291" ht="14.25" customHeight="1">
      <c r="A291" s="15">
        <v>779.0</v>
      </c>
      <c r="B291" s="13" t="s">
        <v>55</v>
      </c>
      <c r="C291" s="9">
        <v>25.26963872741186</v>
      </c>
      <c r="D291" s="14">
        <v>18.4</v>
      </c>
      <c r="E291" s="14">
        <v>26.80029786266609</v>
      </c>
      <c r="F291" s="14">
        <v>32.7</v>
      </c>
      <c r="G291" s="14">
        <v>42.8</v>
      </c>
      <c r="H291" s="14">
        <v>27.5</v>
      </c>
      <c r="I291" s="14">
        <v>22.4</v>
      </c>
      <c r="J291" s="9">
        <v>39.72663351372318</v>
      </c>
      <c r="K291" s="14">
        <v>44.5</v>
      </c>
      <c r="L291" s="14">
        <v>50.3</v>
      </c>
      <c r="M291" s="14">
        <v>47.7</v>
      </c>
    </row>
    <row r="292" ht="14.25" customHeight="1">
      <c r="A292" s="15">
        <v>780.0</v>
      </c>
      <c r="B292" s="13" t="s">
        <v>55</v>
      </c>
      <c r="C292" s="9">
        <v>27.1</v>
      </c>
      <c r="D292" s="14">
        <v>19.7</v>
      </c>
      <c r="E292" s="14">
        <v>30.8</v>
      </c>
      <c r="F292" s="14">
        <v>35.571148436704114</v>
      </c>
      <c r="G292" s="14">
        <v>46.9970153225975</v>
      </c>
      <c r="H292" s="14">
        <v>30.3</v>
      </c>
      <c r="I292" s="14">
        <v>24.7</v>
      </c>
      <c r="J292" s="9">
        <v>41.61192243116232</v>
      </c>
      <c r="K292" s="14">
        <v>47.46921796387649</v>
      </c>
      <c r="L292" s="14">
        <v>53.8</v>
      </c>
      <c r="M292" s="14">
        <v>51.1</v>
      </c>
    </row>
    <row r="293" ht="14.25" customHeight="1">
      <c r="A293" s="15">
        <v>781.0</v>
      </c>
      <c r="B293" s="13" t="s">
        <v>55</v>
      </c>
      <c r="C293" s="9">
        <v>27.8</v>
      </c>
      <c r="D293" s="14">
        <v>20.2</v>
      </c>
      <c r="E293" s="14">
        <v>27.339320214504255</v>
      </c>
      <c r="F293" s="14">
        <v>34.4</v>
      </c>
      <c r="G293" s="14">
        <v>47.0</v>
      </c>
      <c r="H293" s="14">
        <v>30.593884489200498</v>
      </c>
      <c r="I293" s="14">
        <v>21.2</v>
      </c>
      <c r="J293" s="9">
        <v>39.27561328126071</v>
      </c>
      <c r="K293" s="14">
        <v>47.8</v>
      </c>
      <c r="L293" s="14">
        <v>55.0</v>
      </c>
      <c r="M293" s="14">
        <v>51.2</v>
      </c>
    </row>
    <row r="294" ht="14.25" customHeight="1">
      <c r="A294" s="15">
        <v>782.0</v>
      </c>
      <c r="B294" s="13" t="s">
        <v>55</v>
      </c>
      <c r="C294" s="9">
        <v>26.7</v>
      </c>
      <c r="D294" s="14">
        <v>20.7</v>
      </c>
      <c r="E294" s="14">
        <v>29.2</v>
      </c>
      <c r="F294" s="14">
        <v>35.8</v>
      </c>
      <c r="G294" s="14">
        <v>44.97717459728303</v>
      </c>
      <c r="H294" s="14">
        <v>29.5</v>
      </c>
      <c r="I294" s="14">
        <v>24.1</v>
      </c>
      <c r="J294" s="9">
        <v>40.3</v>
      </c>
      <c r="K294" s="14">
        <v>47.6</v>
      </c>
      <c r="L294" s="14">
        <v>53.3</v>
      </c>
      <c r="M294" s="14">
        <v>49.1</v>
      </c>
    </row>
    <row r="295" ht="14.25" customHeight="1">
      <c r="A295" s="15">
        <v>783.0</v>
      </c>
      <c r="B295" s="13" t="s">
        <v>55</v>
      </c>
      <c r="C295" s="9">
        <v>25.288082860061387</v>
      </c>
      <c r="D295" s="14">
        <v>19.060788004910098</v>
      </c>
      <c r="E295" s="14">
        <v>25.830931286907667</v>
      </c>
      <c r="F295" s="14">
        <v>32.3</v>
      </c>
      <c r="G295" s="14">
        <v>42.21644027539666</v>
      </c>
      <c r="H295" s="14">
        <v>27.5</v>
      </c>
      <c r="I295" s="14">
        <v>21.8</v>
      </c>
      <c r="J295" s="9">
        <v>38.221347595041294</v>
      </c>
      <c r="K295" s="14">
        <v>43.6</v>
      </c>
      <c r="L295" s="14">
        <v>49.2</v>
      </c>
      <c r="M295" s="14">
        <v>45.7</v>
      </c>
    </row>
    <row r="296" ht="14.25" customHeight="1">
      <c r="A296" s="15">
        <v>784.0</v>
      </c>
      <c r="B296" s="13" t="s">
        <v>55</v>
      </c>
      <c r="C296" s="9">
        <v>23.3</v>
      </c>
      <c r="D296" s="14">
        <v>18.8</v>
      </c>
      <c r="E296" s="14">
        <v>26.7</v>
      </c>
      <c r="F296" s="14">
        <v>32.2</v>
      </c>
      <c r="G296" s="14">
        <v>42.6</v>
      </c>
      <c r="H296" s="14">
        <v>27.4</v>
      </c>
      <c r="I296" s="14">
        <v>22.8</v>
      </c>
      <c r="J296" s="9">
        <v>39.38359448841332</v>
      </c>
      <c r="K296" s="14">
        <v>43.8</v>
      </c>
      <c r="L296" s="14">
        <v>50.4</v>
      </c>
      <c r="M296" s="14">
        <v>47.0</v>
      </c>
    </row>
    <row r="297" ht="14.25" customHeight="1">
      <c r="A297" s="15">
        <v>785.0</v>
      </c>
      <c r="B297" s="13" t="s">
        <v>55</v>
      </c>
      <c r="C297" s="9">
        <v>25.1</v>
      </c>
      <c r="D297" s="14">
        <v>19.9</v>
      </c>
      <c r="E297" s="14">
        <v>30.3</v>
      </c>
      <c r="F297" s="14">
        <v>32.8</v>
      </c>
      <c r="G297" s="14">
        <v>44.0</v>
      </c>
      <c r="H297" s="14">
        <v>28.6</v>
      </c>
      <c r="I297" s="14">
        <v>23.9</v>
      </c>
      <c r="J297" s="9">
        <v>40.5</v>
      </c>
      <c r="K297" s="14">
        <v>45.5</v>
      </c>
      <c r="L297" s="14">
        <v>51.5</v>
      </c>
      <c r="M297" s="14">
        <v>47.5</v>
      </c>
    </row>
    <row r="298" ht="14.25" customHeight="1">
      <c r="A298" s="15">
        <v>786.0</v>
      </c>
      <c r="B298" s="13" t="s">
        <v>55</v>
      </c>
      <c r="C298" s="9">
        <v>26.4</v>
      </c>
      <c r="D298" s="14">
        <v>19.2</v>
      </c>
      <c r="E298" s="14">
        <v>29.0</v>
      </c>
      <c r="F298" s="14">
        <v>32.4</v>
      </c>
      <c r="G298" s="14">
        <v>44.4</v>
      </c>
      <c r="H298" s="14">
        <v>28.4</v>
      </c>
      <c r="I298" s="14">
        <v>22.7</v>
      </c>
      <c r="J298" s="9">
        <v>40.3</v>
      </c>
      <c r="K298" s="14">
        <v>45.6</v>
      </c>
      <c r="L298" s="14">
        <v>53.7</v>
      </c>
      <c r="M298" s="14">
        <v>49.8</v>
      </c>
    </row>
    <row r="299" ht="14.25" customHeight="1">
      <c r="A299" s="15">
        <v>787.0</v>
      </c>
      <c r="B299" s="13" t="s">
        <v>55</v>
      </c>
      <c r="C299" s="9">
        <v>27.11441283587485</v>
      </c>
      <c r="D299" s="14">
        <v>20.4</v>
      </c>
      <c r="E299" s="14">
        <v>32.1</v>
      </c>
      <c r="F299" s="14">
        <v>36.37062562675685</v>
      </c>
      <c r="G299" s="14">
        <v>47.4</v>
      </c>
      <c r="H299" s="14">
        <v>31.3</v>
      </c>
      <c r="I299" s="14">
        <v>25.0</v>
      </c>
      <c r="J299" s="9">
        <v>40.2</v>
      </c>
      <c r="K299" s="14">
        <v>47.9</v>
      </c>
      <c r="L299" s="14">
        <v>55.8</v>
      </c>
      <c r="M299" s="14">
        <v>51.5</v>
      </c>
    </row>
    <row r="300" ht="14.25" customHeight="1">
      <c r="A300" s="15">
        <v>788.0</v>
      </c>
      <c r="B300" s="13" t="s">
        <v>55</v>
      </c>
      <c r="C300" s="9">
        <v>29.6</v>
      </c>
      <c r="D300" s="14">
        <v>20.5</v>
      </c>
      <c r="E300" s="14">
        <v>34.3</v>
      </c>
      <c r="F300" s="14">
        <v>35.6</v>
      </c>
      <c r="G300" s="14">
        <v>47.8</v>
      </c>
      <c r="H300" s="14">
        <v>31.2</v>
      </c>
      <c r="I300" s="14">
        <v>25.1</v>
      </c>
      <c r="J300" s="9">
        <v>42.4</v>
      </c>
      <c r="K300" s="14">
        <v>50.6</v>
      </c>
      <c r="L300" s="14">
        <v>57.5</v>
      </c>
      <c r="M300" s="14">
        <v>51.5</v>
      </c>
    </row>
    <row r="301" ht="14.25" customHeight="1">
      <c r="A301" s="15">
        <v>789.0</v>
      </c>
      <c r="B301" s="13" t="s">
        <v>55</v>
      </c>
      <c r="C301" s="9">
        <v>27.3</v>
      </c>
      <c r="D301" s="14">
        <v>20.7</v>
      </c>
      <c r="E301" s="14">
        <v>32.9</v>
      </c>
      <c r="F301" s="14">
        <v>33.5</v>
      </c>
      <c r="G301" s="14">
        <v>44.6</v>
      </c>
      <c r="H301" s="14">
        <v>28.6</v>
      </c>
      <c r="I301" s="14">
        <v>24.1</v>
      </c>
      <c r="J301" s="9">
        <v>40.6</v>
      </c>
      <c r="K301" s="14">
        <v>47.9</v>
      </c>
      <c r="L301" s="14">
        <v>54.5</v>
      </c>
      <c r="M301" s="14">
        <v>50.7</v>
      </c>
    </row>
    <row r="302" ht="14.25" customHeight="1">
      <c r="A302" s="15">
        <v>790.0</v>
      </c>
      <c r="B302" s="13" t="s">
        <v>55</v>
      </c>
      <c r="C302" s="9">
        <v>27.5</v>
      </c>
      <c r="D302" s="14">
        <v>21.6</v>
      </c>
      <c r="E302" s="14">
        <v>32.7</v>
      </c>
      <c r="F302" s="14">
        <v>35.2</v>
      </c>
      <c r="G302" s="14">
        <v>47.9</v>
      </c>
      <c r="H302" s="14">
        <v>31.6</v>
      </c>
      <c r="I302" s="14">
        <v>23.4</v>
      </c>
      <c r="J302" s="9">
        <v>41.7</v>
      </c>
      <c r="K302" s="14">
        <v>50.4</v>
      </c>
      <c r="L302" s="14">
        <v>56.5</v>
      </c>
      <c r="M302" s="14">
        <v>52.4</v>
      </c>
    </row>
    <row r="303" ht="14.25" customHeight="1">
      <c r="A303" s="15">
        <v>791.0</v>
      </c>
      <c r="B303" s="13" t="s">
        <v>55</v>
      </c>
      <c r="C303" s="9">
        <v>27.5</v>
      </c>
      <c r="D303" s="14">
        <v>21.3</v>
      </c>
      <c r="E303" s="14">
        <v>31.0</v>
      </c>
      <c r="F303" s="14">
        <v>34.9</v>
      </c>
      <c r="G303" s="14">
        <v>48.3</v>
      </c>
      <c r="H303" s="14">
        <v>30.9</v>
      </c>
      <c r="I303" s="14">
        <v>23.50229735450242</v>
      </c>
      <c r="J303" s="9">
        <v>41.35888011759535</v>
      </c>
      <c r="K303" s="14">
        <v>49.2</v>
      </c>
      <c r="L303" s="14">
        <v>56.1</v>
      </c>
      <c r="M303" s="14">
        <v>53.11214759506278</v>
      </c>
    </row>
    <row r="304" ht="14.25" customHeight="1">
      <c r="A304" s="15">
        <v>792.0</v>
      </c>
      <c r="B304" s="13" t="s">
        <v>55</v>
      </c>
      <c r="C304" s="9">
        <v>25.9</v>
      </c>
      <c r="D304" s="14">
        <v>21.6</v>
      </c>
      <c r="E304" s="14">
        <v>30.7</v>
      </c>
      <c r="F304" s="14">
        <v>33.2</v>
      </c>
      <c r="G304" s="14">
        <v>44.8</v>
      </c>
      <c r="H304" s="14">
        <v>29.7</v>
      </c>
      <c r="I304" s="14">
        <v>24.4</v>
      </c>
      <c r="J304" s="9">
        <v>41.1</v>
      </c>
      <c r="K304" s="14">
        <v>46.3</v>
      </c>
      <c r="L304" s="14">
        <v>53.9</v>
      </c>
      <c r="M304" s="14">
        <v>50.1</v>
      </c>
    </row>
    <row r="305" ht="14.25" customHeight="1">
      <c r="A305" s="15">
        <v>793.0</v>
      </c>
      <c r="B305" s="13" t="s">
        <v>55</v>
      </c>
      <c r="C305" s="9">
        <v>28.8</v>
      </c>
      <c r="D305" s="14">
        <v>19.6</v>
      </c>
      <c r="E305" s="14">
        <v>30.5</v>
      </c>
      <c r="F305" s="14">
        <v>35.1</v>
      </c>
      <c r="G305" s="14">
        <v>45.82294496702529</v>
      </c>
      <c r="H305" s="14">
        <v>29.6</v>
      </c>
      <c r="I305" s="14">
        <v>25.1</v>
      </c>
      <c r="J305" s="9">
        <v>41.6</v>
      </c>
      <c r="K305" s="14">
        <v>47.2</v>
      </c>
      <c r="L305" s="14">
        <v>54.4</v>
      </c>
      <c r="M305" s="14">
        <v>50.1</v>
      </c>
    </row>
    <row r="306" ht="14.25" customHeight="1">
      <c r="A306" s="15">
        <v>794.0</v>
      </c>
      <c r="B306" s="13" t="s">
        <v>55</v>
      </c>
      <c r="C306" s="9">
        <v>27.6</v>
      </c>
      <c r="D306" s="14">
        <v>19.8</v>
      </c>
      <c r="E306" s="14">
        <v>30.3</v>
      </c>
      <c r="F306" s="14">
        <v>33.2</v>
      </c>
      <c r="G306" s="14">
        <v>44.8</v>
      </c>
      <c r="H306" s="14">
        <v>28.7</v>
      </c>
      <c r="I306" s="14">
        <v>23.5</v>
      </c>
      <c r="J306" s="9">
        <v>40.0</v>
      </c>
      <c r="K306" s="14">
        <v>46.2</v>
      </c>
      <c r="L306" s="14">
        <v>52.8</v>
      </c>
      <c r="M306" s="14">
        <v>48.9</v>
      </c>
    </row>
    <row r="307" ht="14.25" customHeight="1">
      <c r="A307" s="15">
        <v>795.0</v>
      </c>
      <c r="B307" s="13" t="s">
        <v>55</v>
      </c>
      <c r="C307" s="9">
        <v>27.4</v>
      </c>
      <c r="D307" s="14">
        <v>19.8</v>
      </c>
      <c r="E307" s="14">
        <v>32.6</v>
      </c>
      <c r="F307" s="14">
        <v>34.5</v>
      </c>
      <c r="G307" s="14">
        <v>44.9</v>
      </c>
      <c r="H307" s="14">
        <v>29.1</v>
      </c>
      <c r="I307" s="14">
        <v>24.4</v>
      </c>
      <c r="J307" s="9">
        <v>40.9</v>
      </c>
      <c r="K307" s="14">
        <v>47.0</v>
      </c>
      <c r="L307" s="14">
        <v>53.4</v>
      </c>
      <c r="M307" s="14">
        <v>49.2</v>
      </c>
    </row>
    <row r="308" ht="14.25" customHeight="1">
      <c r="A308" s="15">
        <v>796.0</v>
      </c>
      <c r="B308" s="13" t="s">
        <v>55</v>
      </c>
      <c r="C308" s="9">
        <v>27.1</v>
      </c>
      <c r="D308" s="14">
        <v>21.5</v>
      </c>
      <c r="E308" s="14">
        <v>34.1</v>
      </c>
      <c r="F308" s="14">
        <v>35.8</v>
      </c>
      <c r="G308" s="14">
        <v>47.1</v>
      </c>
      <c r="H308" s="14">
        <v>30.7</v>
      </c>
      <c r="I308" s="14">
        <v>25.0</v>
      </c>
      <c r="J308" s="9">
        <v>40.0</v>
      </c>
      <c r="K308" s="14">
        <v>48.9</v>
      </c>
      <c r="L308" s="14">
        <v>55.5</v>
      </c>
      <c r="M308" s="14">
        <v>51.4</v>
      </c>
    </row>
    <row r="309" ht="14.25" customHeight="1">
      <c r="A309" s="15">
        <v>797.0</v>
      </c>
      <c r="B309" s="13" t="s">
        <v>55</v>
      </c>
      <c r="C309" s="9">
        <v>29.4</v>
      </c>
      <c r="D309" s="14">
        <v>21.3</v>
      </c>
      <c r="E309" s="14">
        <v>31.8</v>
      </c>
      <c r="F309" s="14">
        <v>34.1</v>
      </c>
      <c r="G309" s="14">
        <v>45.8</v>
      </c>
      <c r="H309" s="14">
        <v>30.02911157252182</v>
      </c>
      <c r="I309" s="14">
        <v>25.2</v>
      </c>
      <c r="J309" s="9">
        <v>41.6</v>
      </c>
      <c r="K309" s="14">
        <v>47.2</v>
      </c>
      <c r="L309" s="14">
        <v>53.2</v>
      </c>
      <c r="M309" s="14">
        <v>49.1</v>
      </c>
    </row>
    <row r="310" ht="14.25" customHeight="1">
      <c r="A310" s="15">
        <v>798.0</v>
      </c>
      <c r="B310" s="13" t="s">
        <v>55</v>
      </c>
      <c r="C310" s="9">
        <v>28.27109035044668</v>
      </c>
      <c r="D310" s="14">
        <v>22.1531807041248</v>
      </c>
      <c r="E310" s="14">
        <v>32.1</v>
      </c>
      <c r="F310" s="14">
        <v>35.1</v>
      </c>
      <c r="G310" s="14">
        <v>47.6</v>
      </c>
      <c r="H310" s="14">
        <v>31.6</v>
      </c>
      <c r="I310" s="14">
        <v>25.7</v>
      </c>
      <c r="J310" s="9">
        <v>42.6</v>
      </c>
      <c r="K310" s="14">
        <v>48.8</v>
      </c>
      <c r="L310" s="14">
        <v>55.8</v>
      </c>
      <c r="M310" s="14">
        <v>51.7</v>
      </c>
    </row>
    <row r="311" ht="14.25" customHeight="1">
      <c r="A311" s="15">
        <v>799.0</v>
      </c>
      <c r="B311" s="13" t="s">
        <v>55</v>
      </c>
      <c r="C311" s="9">
        <v>28.5</v>
      </c>
      <c r="D311" s="14">
        <v>21.5</v>
      </c>
      <c r="E311" s="14">
        <v>33.5</v>
      </c>
      <c r="F311" s="14">
        <v>36.5</v>
      </c>
      <c r="G311" s="14">
        <v>49.9</v>
      </c>
      <c r="H311" s="14">
        <v>32.6</v>
      </c>
      <c r="I311" s="14">
        <v>25.3</v>
      </c>
      <c r="J311" s="9">
        <v>43.5</v>
      </c>
      <c r="K311" s="14">
        <v>50.7</v>
      </c>
      <c r="L311" s="14">
        <v>58.5</v>
      </c>
      <c r="M311" s="14">
        <v>54.8</v>
      </c>
    </row>
    <row r="312" ht="14.25" customHeight="1">
      <c r="A312" s="15">
        <v>800.0</v>
      </c>
      <c r="B312" s="13" t="s">
        <v>55</v>
      </c>
      <c r="C312" s="9">
        <v>26.6</v>
      </c>
      <c r="D312" s="14">
        <v>21.0</v>
      </c>
      <c r="E312" s="14">
        <v>28.4</v>
      </c>
      <c r="F312" s="14">
        <v>35.1</v>
      </c>
      <c r="G312" s="14">
        <v>46.0</v>
      </c>
      <c r="H312" s="14">
        <v>30.4</v>
      </c>
      <c r="I312" s="14">
        <v>22.6</v>
      </c>
      <c r="J312" s="9">
        <v>38.6</v>
      </c>
      <c r="K312" s="14">
        <v>46.9</v>
      </c>
      <c r="L312" s="14">
        <v>52.3</v>
      </c>
      <c r="M312" s="14">
        <v>48.8</v>
      </c>
    </row>
    <row r="313" ht="14.25" customHeight="1">
      <c r="A313" s="15">
        <v>801.0</v>
      </c>
      <c r="B313" s="13" t="s">
        <v>55</v>
      </c>
      <c r="C313" s="9">
        <v>27.0</v>
      </c>
      <c r="D313" s="14">
        <v>20.1</v>
      </c>
      <c r="E313" s="14">
        <v>30.4</v>
      </c>
      <c r="F313" s="14">
        <v>36.4</v>
      </c>
      <c r="G313" s="14">
        <v>47.2</v>
      </c>
      <c r="H313" s="14">
        <v>30.5</v>
      </c>
      <c r="I313" s="14">
        <v>24.3</v>
      </c>
      <c r="J313" s="9">
        <v>40.7</v>
      </c>
      <c r="K313" s="14">
        <v>49.4</v>
      </c>
      <c r="L313" s="14">
        <v>55.4</v>
      </c>
      <c r="M313" s="14">
        <v>51.3</v>
      </c>
    </row>
    <row r="314" ht="14.25" customHeight="1">
      <c r="A314" s="15">
        <v>741.0</v>
      </c>
      <c r="B314" s="13" t="s">
        <v>56</v>
      </c>
      <c r="C314" s="9">
        <v>30.6</v>
      </c>
      <c r="D314" s="14">
        <v>24.0</v>
      </c>
      <c r="E314" s="14">
        <v>36.1</v>
      </c>
      <c r="F314" s="14">
        <v>45.4</v>
      </c>
      <c r="G314" s="14">
        <v>60.7</v>
      </c>
      <c r="H314" s="14">
        <v>40.9</v>
      </c>
      <c r="I314" s="14">
        <v>28.7</v>
      </c>
      <c r="J314" s="9">
        <v>47.0</v>
      </c>
      <c r="K314" s="14">
        <v>54.7</v>
      </c>
      <c r="L314" s="14">
        <v>62.0</v>
      </c>
      <c r="M314" s="14">
        <v>57.5</v>
      </c>
    </row>
    <row r="315" ht="14.25" customHeight="1">
      <c r="A315" s="15">
        <v>742.0</v>
      </c>
      <c r="B315" s="13" t="s">
        <v>56</v>
      </c>
      <c r="C315" s="9">
        <v>29.6</v>
      </c>
      <c r="D315" s="14">
        <v>25.2</v>
      </c>
      <c r="E315" s="14">
        <v>36.4</v>
      </c>
      <c r="F315" s="14">
        <v>45.5</v>
      </c>
      <c r="G315" s="14">
        <v>58.5</v>
      </c>
      <c r="H315" s="14">
        <v>39.8</v>
      </c>
      <c r="I315" s="14">
        <v>30.5</v>
      </c>
      <c r="J315" s="9">
        <v>48.1</v>
      </c>
      <c r="K315" s="14">
        <v>53.3</v>
      </c>
      <c r="L315" s="14">
        <v>61.1</v>
      </c>
      <c r="M315" s="14">
        <v>57.5</v>
      </c>
    </row>
    <row r="316" ht="14.25" customHeight="1">
      <c r="A316" s="15">
        <v>743.0</v>
      </c>
      <c r="B316" s="13" t="s">
        <v>56</v>
      </c>
      <c r="C316" s="9">
        <v>29.0</v>
      </c>
      <c r="D316" s="14">
        <v>22.6</v>
      </c>
      <c r="E316" s="14">
        <v>34.2</v>
      </c>
      <c r="F316" s="14">
        <v>42.0</v>
      </c>
      <c r="G316" s="14">
        <v>56.2</v>
      </c>
      <c r="H316" s="14">
        <v>38.4</v>
      </c>
      <c r="I316" s="14">
        <v>29.2</v>
      </c>
      <c r="J316" s="9">
        <v>46.60123537956644</v>
      </c>
      <c r="K316" s="14">
        <v>50.9</v>
      </c>
      <c r="L316" s="14">
        <v>57.7</v>
      </c>
      <c r="M316" s="14">
        <v>52.9</v>
      </c>
    </row>
    <row r="317" ht="14.25" customHeight="1">
      <c r="A317" s="15">
        <v>745.0</v>
      </c>
      <c r="B317" s="13" t="s">
        <v>56</v>
      </c>
      <c r="C317" s="9">
        <v>29.0</v>
      </c>
      <c r="D317" s="14">
        <v>23.2</v>
      </c>
      <c r="E317" s="14">
        <v>35.8</v>
      </c>
      <c r="F317" s="14">
        <v>42.8</v>
      </c>
      <c r="G317" s="14">
        <v>58.7</v>
      </c>
      <c r="H317" s="14">
        <v>40.0</v>
      </c>
      <c r="I317" s="14">
        <v>29.4</v>
      </c>
      <c r="J317" s="9">
        <v>50.7</v>
      </c>
      <c r="K317" s="14">
        <v>52.0</v>
      </c>
      <c r="L317" s="14">
        <v>59.5</v>
      </c>
      <c r="M317" s="14">
        <v>55.1</v>
      </c>
    </row>
    <row r="318" ht="14.25" customHeight="1">
      <c r="A318" s="15">
        <v>746.0</v>
      </c>
      <c r="B318" s="13" t="s">
        <v>56</v>
      </c>
      <c r="C318" s="9">
        <v>28.7</v>
      </c>
      <c r="D318" s="14">
        <v>23.6</v>
      </c>
      <c r="E318" s="14">
        <v>34.6</v>
      </c>
      <c r="F318" s="14">
        <v>44.3</v>
      </c>
      <c r="G318" s="14">
        <v>58.0</v>
      </c>
      <c r="H318" s="14">
        <v>40.1</v>
      </c>
      <c r="I318" s="14">
        <v>30.5</v>
      </c>
      <c r="J318" s="9">
        <v>47.3</v>
      </c>
      <c r="K318" s="14">
        <v>53.6</v>
      </c>
      <c r="L318" s="14">
        <v>61.0</v>
      </c>
      <c r="M318" s="14">
        <v>57.2</v>
      </c>
    </row>
    <row r="319" ht="14.25" customHeight="1">
      <c r="A319" s="15">
        <v>747.0</v>
      </c>
      <c r="B319" s="13" t="s">
        <v>56</v>
      </c>
      <c r="C319" s="9">
        <v>29.476382159118646</v>
      </c>
      <c r="D319" s="14">
        <v>25.0</v>
      </c>
      <c r="E319" s="14">
        <v>38.6</v>
      </c>
      <c r="F319" s="14">
        <v>43.9</v>
      </c>
      <c r="G319" s="14">
        <v>58.1</v>
      </c>
      <c r="H319" s="14">
        <v>39.0</v>
      </c>
      <c r="I319" s="14">
        <v>30.8</v>
      </c>
      <c r="J319" s="9">
        <v>50.9</v>
      </c>
      <c r="K319" s="14">
        <v>52.3</v>
      </c>
      <c r="L319" s="14">
        <v>58.9</v>
      </c>
      <c r="M319" s="14">
        <v>55.1</v>
      </c>
    </row>
    <row r="320" ht="14.25" customHeight="1">
      <c r="A320" s="15">
        <v>748.0</v>
      </c>
      <c r="B320" s="13" t="s">
        <v>56</v>
      </c>
      <c r="C320" s="9">
        <v>32.9</v>
      </c>
      <c r="D320" s="14">
        <v>26.0</v>
      </c>
      <c r="E320" s="14">
        <v>40.6</v>
      </c>
      <c r="F320" s="14">
        <v>45.7</v>
      </c>
      <c r="G320" s="14">
        <v>61.5</v>
      </c>
      <c r="H320" s="14">
        <v>41.8</v>
      </c>
      <c r="I320" s="14">
        <v>30.8</v>
      </c>
      <c r="J320" s="9">
        <v>48.5</v>
      </c>
      <c r="K320" s="14">
        <v>54.9</v>
      </c>
      <c r="L320" s="14">
        <v>63.7</v>
      </c>
      <c r="M320" s="14">
        <v>58.7</v>
      </c>
    </row>
    <row r="321" ht="14.25" customHeight="1">
      <c r="A321" s="15">
        <v>749.0</v>
      </c>
      <c r="B321" s="13" t="s">
        <v>56</v>
      </c>
      <c r="C321" s="9">
        <v>29.8</v>
      </c>
      <c r="D321" s="14">
        <v>24.0</v>
      </c>
      <c r="E321" s="14">
        <v>36.0</v>
      </c>
      <c r="F321" s="14">
        <v>43.4</v>
      </c>
      <c r="G321" s="14">
        <v>55.9</v>
      </c>
      <c r="H321" s="14">
        <v>39.1</v>
      </c>
      <c r="I321" s="14">
        <v>30.01391702376827</v>
      </c>
      <c r="J321" s="9">
        <v>46.6</v>
      </c>
      <c r="K321" s="14">
        <v>52.563585891430755</v>
      </c>
      <c r="L321" s="14">
        <v>60.3</v>
      </c>
      <c r="M321" s="14">
        <v>56.7</v>
      </c>
    </row>
    <row r="322" ht="14.25" customHeight="1">
      <c r="A322" s="15">
        <v>750.0</v>
      </c>
      <c r="B322" s="13" t="s">
        <v>56</v>
      </c>
      <c r="C322" s="9">
        <v>29.1</v>
      </c>
      <c r="D322" s="14">
        <v>21.5</v>
      </c>
      <c r="E322" s="14">
        <v>33.1</v>
      </c>
      <c r="F322" s="14">
        <v>43.8</v>
      </c>
      <c r="G322" s="14">
        <v>56.5</v>
      </c>
      <c r="H322" s="14">
        <v>39.2</v>
      </c>
      <c r="I322" s="14">
        <v>28.2</v>
      </c>
      <c r="J322" s="9">
        <v>43.4</v>
      </c>
      <c r="K322" s="14">
        <v>50.6</v>
      </c>
      <c r="L322" s="14">
        <v>57.4</v>
      </c>
      <c r="M322" s="14">
        <v>53.3</v>
      </c>
    </row>
    <row r="323" ht="14.25" customHeight="1">
      <c r="A323" s="15">
        <v>751.0</v>
      </c>
      <c r="B323" s="13" t="s">
        <v>56</v>
      </c>
      <c r="C323" s="9">
        <v>29.3</v>
      </c>
      <c r="D323" s="14">
        <v>22.2</v>
      </c>
      <c r="E323" s="14">
        <v>34.0</v>
      </c>
      <c r="F323" s="14">
        <v>43.9</v>
      </c>
      <c r="G323" s="14">
        <v>57.4</v>
      </c>
      <c r="H323" s="14">
        <v>38.0</v>
      </c>
      <c r="I323" s="14">
        <v>29.2</v>
      </c>
      <c r="J323" s="9">
        <v>45.8</v>
      </c>
      <c r="K323" s="14">
        <v>49.9</v>
      </c>
      <c r="L323" s="14">
        <v>57.4</v>
      </c>
      <c r="M323" s="14">
        <v>53.3</v>
      </c>
    </row>
    <row r="324" ht="14.25" customHeight="1">
      <c r="A324" s="15">
        <v>752.0</v>
      </c>
      <c r="B324" s="13" t="s">
        <v>56</v>
      </c>
      <c r="C324" s="9">
        <v>30.4</v>
      </c>
      <c r="D324" s="14">
        <v>23.6</v>
      </c>
      <c r="E324" s="14">
        <v>36.2</v>
      </c>
      <c r="F324" s="14">
        <v>42.8</v>
      </c>
      <c r="G324" s="14">
        <v>57.8</v>
      </c>
      <c r="H324" s="14">
        <v>37.9</v>
      </c>
      <c r="I324" s="14">
        <v>29.4</v>
      </c>
      <c r="J324" s="9">
        <v>46.4</v>
      </c>
      <c r="K324" s="14">
        <v>51.7</v>
      </c>
      <c r="L324" s="14">
        <v>60.3</v>
      </c>
      <c r="M324" s="14">
        <v>55.6</v>
      </c>
    </row>
    <row r="325" ht="14.25" customHeight="1">
      <c r="A325" s="15">
        <v>753.0</v>
      </c>
      <c r="B325" s="13" t="s">
        <v>56</v>
      </c>
      <c r="C325" s="9">
        <v>30.4</v>
      </c>
      <c r="D325" s="14">
        <v>22.9</v>
      </c>
      <c r="E325" s="14">
        <v>34.8</v>
      </c>
      <c r="F325" s="14">
        <v>42.4</v>
      </c>
      <c r="G325" s="14">
        <v>57.5</v>
      </c>
      <c r="H325" s="14">
        <v>38.9</v>
      </c>
      <c r="I325" s="14">
        <v>28.3</v>
      </c>
      <c r="J325" s="9">
        <v>46.0</v>
      </c>
      <c r="K325" s="14">
        <v>50.0</v>
      </c>
      <c r="L325" s="14">
        <v>57.6</v>
      </c>
      <c r="M325" s="14">
        <v>53.5</v>
      </c>
    </row>
    <row r="326" ht="14.25" customHeight="1">
      <c r="A326" s="15">
        <v>754.0</v>
      </c>
      <c r="B326" s="13" t="s">
        <v>56</v>
      </c>
      <c r="C326" s="9">
        <v>29.5</v>
      </c>
      <c r="D326" s="14">
        <v>23.4</v>
      </c>
      <c r="E326" s="14">
        <v>34.3</v>
      </c>
      <c r="F326" s="14">
        <v>42.3</v>
      </c>
      <c r="G326" s="14">
        <v>57.9</v>
      </c>
      <c r="H326" s="14">
        <v>39.0</v>
      </c>
      <c r="I326" s="14">
        <v>29.0</v>
      </c>
      <c r="J326" s="9">
        <v>47.9</v>
      </c>
      <c r="K326" s="14">
        <v>51.4</v>
      </c>
      <c r="L326" s="14">
        <v>58.3</v>
      </c>
      <c r="M326" s="14">
        <v>54.7</v>
      </c>
    </row>
    <row r="327" ht="14.25" customHeight="1">
      <c r="A327" s="15">
        <v>755.0</v>
      </c>
      <c r="B327" s="13" t="s">
        <v>56</v>
      </c>
      <c r="C327" s="9">
        <v>28.9</v>
      </c>
      <c r="D327" s="14">
        <v>25.5</v>
      </c>
      <c r="E327" s="14">
        <v>36.2596547341405</v>
      </c>
      <c r="F327" s="14">
        <v>44.0</v>
      </c>
      <c r="G327" s="14">
        <v>58.2</v>
      </c>
      <c r="H327" s="14">
        <v>39.8</v>
      </c>
      <c r="I327" s="14">
        <v>29.3</v>
      </c>
      <c r="J327" s="9">
        <v>49.0</v>
      </c>
      <c r="K327" s="14">
        <v>53.2</v>
      </c>
      <c r="L327" s="14">
        <v>60.5</v>
      </c>
      <c r="M327" s="14">
        <v>55.9</v>
      </c>
    </row>
    <row r="328" ht="14.25" customHeight="1">
      <c r="A328" s="15">
        <v>756.0</v>
      </c>
      <c r="B328" s="13" t="s">
        <v>56</v>
      </c>
      <c r="C328" s="9">
        <v>29.0</v>
      </c>
      <c r="D328" s="14">
        <v>22.5</v>
      </c>
      <c r="E328" s="14">
        <v>34.3</v>
      </c>
      <c r="F328" s="14">
        <v>41.9</v>
      </c>
      <c r="G328" s="14">
        <v>56.1</v>
      </c>
      <c r="H328" s="14">
        <v>38.8</v>
      </c>
      <c r="I328" s="14">
        <v>29.0</v>
      </c>
      <c r="J328" s="9">
        <v>48.2</v>
      </c>
      <c r="K328" s="14">
        <v>49.6</v>
      </c>
      <c r="L328" s="14">
        <v>55.4</v>
      </c>
      <c r="M328" s="14">
        <v>50.9</v>
      </c>
    </row>
    <row r="329" ht="14.25" customHeight="1">
      <c r="A329" s="15">
        <v>757.0</v>
      </c>
      <c r="B329" s="13" t="s">
        <v>56</v>
      </c>
      <c r="C329" s="9">
        <v>29.7</v>
      </c>
      <c r="D329" s="14">
        <v>22.4</v>
      </c>
      <c r="E329" s="14">
        <v>32.7</v>
      </c>
      <c r="F329" s="14">
        <v>42.4</v>
      </c>
      <c r="G329" s="14">
        <v>57.1</v>
      </c>
      <c r="H329" s="14">
        <v>38.0</v>
      </c>
      <c r="I329" s="14">
        <v>28.2</v>
      </c>
      <c r="J329" s="9">
        <v>47.7</v>
      </c>
      <c r="K329" s="14">
        <v>50.281186743999875</v>
      </c>
      <c r="L329" s="14">
        <v>56.8</v>
      </c>
      <c r="M329" s="14">
        <v>52.4</v>
      </c>
    </row>
    <row r="330" ht="14.25" customHeight="1">
      <c r="A330" s="15">
        <v>758.0</v>
      </c>
      <c r="B330" s="13" t="s">
        <v>56</v>
      </c>
      <c r="C330" s="9">
        <v>32.2</v>
      </c>
      <c r="D330" s="14">
        <v>24.4</v>
      </c>
      <c r="E330" s="14">
        <v>37.1</v>
      </c>
      <c r="F330" s="14">
        <v>43.6</v>
      </c>
      <c r="G330" s="14">
        <v>59.4</v>
      </c>
      <c r="H330" s="14">
        <v>40.0</v>
      </c>
      <c r="I330" s="14">
        <v>29.8</v>
      </c>
      <c r="J330" s="9">
        <v>46.2</v>
      </c>
      <c r="K330" s="14">
        <v>52.9</v>
      </c>
      <c r="L330" s="14">
        <v>62.0</v>
      </c>
      <c r="M330" s="14">
        <v>57.2</v>
      </c>
    </row>
    <row r="331" ht="14.25" customHeight="1">
      <c r="A331" s="15">
        <v>759.0</v>
      </c>
      <c r="B331" s="13" t="s">
        <v>56</v>
      </c>
      <c r="C331" s="9">
        <v>31.4</v>
      </c>
      <c r="D331" s="14">
        <v>25.0</v>
      </c>
      <c r="E331" s="14">
        <v>37.3</v>
      </c>
      <c r="F331" s="14">
        <v>45.3</v>
      </c>
      <c r="G331" s="14">
        <v>61.9</v>
      </c>
      <c r="H331" s="14">
        <v>41.9</v>
      </c>
      <c r="I331" s="14">
        <v>29.0</v>
      </c>
      <c r="J331" s="9">
        <v>50.3</v>
      </c>
      <c r="K331" s="14">
        <v>55.3</v>
      </c>
      <c r="L331" s="14">
        <v>63.1</v>
      </c>
      <c r="M331" s="14">
        <v>59.0</v>
      </c>
    </row>
    <row r="332" ht="14.25" customHeight="1">
      <c r="A332" s="15">
        <v>760.0</v>
      </c>
      <c r="B332" s="13" t="s">
        <v>56</v>
      </c>
      <c r="C332" s="9">
        <v>30.1</v>
      </c>
      <c r="D332" s="14">
        <v>22.4</v>
      </c>
      <c r="E332" s="14">
        <v>34.9</v>
      </c>
      <c r="F332" s="14">
        <v>44.3</v>
      </c>
      <c r="G332" s="14">
        <v>58.8</v>
      </c>
      <c r="H332" s="14">
        <v>40.9</v>
      </c>
      <c r="I332" s="14">
        <v>29.4</v>
      </c>
      <c r="J332" s="9">
        <v>45.6</v>
      </c>
      <c r="K332" s="14">
        <v>51.81977225143589</v>
      </c>
      <c r="L332" s="14">
        <v>59.8</v>
      </c>
      <c r="M332" s="14">
        <v>53.6</v>
      </c>
    </row>
    <row r="333" ht="14.25" customHeight="1">
      <c r="A333" s="15">
        <v>761.0</v>
      </c>
      <c r="B333" s="13" t="s">
        <v>56</v>
      </c>
      <c r="C333" s="9">
        <v>30.6</v>
      </c>
      <c r="D333" s="14">
        <v>24.0</v>
      </c>
      <c r="E333" s="14">
        <v>37.2</v>
      </c>
      <c r="F333" s="14">
        <v>44.6</v>
      </c>
      <c r="G333" s="14">
        <v>59.5</v>
      </c>
      <c r="H333" s="14">
        <v>40.5</v>
      </c>
      <c r="I333" s="14">
        <v>28.6</v>
      </c>
      <c r="J333" s="9">
        <v>47.1</v>
      </c>
      <c r="K333" s="14">
        <v>53.7</v>
      </c>
      <c r="L333" s="14">
        <v>62.6</v>
      </c>
      <c r="M333" s="14">
        <v>58.5</v>
      </c>
    </row>
    <row r="334" ht="14.25" customHeight="1">
      <c r="A334" s="15">
        <v>762.0</v>
      </c>
      <c r="B334" s="13" t="s">
        <v>56</v>
      </c>
      <c r="C334" s="9">
        <v>30.9</v>
      </c>
      <c r="D334" s="14">
        <v>23.8</v>
      </c>
      <c r="E334" s="14">
        <v>35.7</v>
      </c>
      <c r="F334" s="14">
        <v>45.3</v>
      </c>
      <c r="G334" s="14">
        <v>60.1</v>
      </c>
      <c r="H334" s="14">
        <v>40.6</v>
      </c>
      <c r="I334" s="14">
        <v>28.9</v>
      </c>
      <c r="J334" s="9">
        <v>47.2</v>
      </c>
      <c r="K334" s="14">
        <v>57.1</v>
      </c>
      <c r="L334" s="14">
        <v>64.2</v>
      </c>
      <c r="M334" s="14">
        <v>59.9</v>
      </c>
    </row>
    <row r="335" ht="14.25" customHeight="1">
      <c r="A335" s="15">
        <v>763.0</v>
      </c>
      <c r="B335" s="13" t="s">
        <v>56</v>
      </c>
      <c r="C335" s="9">
        <v>28.6</v>
      </c>
      <c r="D335" s="14">
        <v>23.1</v>
      </c>
      <c r="E335" s="14">
        <v>33.7</v>
      </c>
      <c r="F335" s="14">
        <v>42.1</v>
      </c>
      <c r="G335" s="14">
        <v>54.862930446676465</v>
      </c>
      <c r="H335" s="14">
        <v>36.5</v>
      </c>
      <c r="I335" s="14">
        <v>28.6</v>
      </c>
      <c r="J335" s="9">
        <v>45.3</v>
      </c>
      <c r="K335" s="14">
        <v>50.6</v>
      </c>
      <c r="L335" s="14">
        <v>57.4</v>
      </c>
      <c r="M335" s="14">
        <v>52.9</v>
      </c>
    </row>
    <row r="336" ht="14.25" customHeight="1">
      <c r="A336" s="15">
        <v>764.0</v>
      </c>
      <c r="B336" s="13" t="s">
        <v>56</v>
      </c>
      <c r="C336" s="9">
        <v>29.9</v>
      </c>
      <c r="D336" s="14">
        <v>23.3</v>
      </c>
      <c r="E336" s="14">
        <v>34.0</v>
      </c>
      <c r="F336" s="14">
        <v>43.6</v>
      </c>
      <c r="G336" s="14">
        <v>58.9</v>
      </c>
      <c r="H336" s="14">
        <v>40.3</v>
      </c>
      <c r="I336" s="14">
        <v>28.9</v>
      </c>
      <c r="J336" s="9">
        <v>48.0</v>
      </c>
      <c r="K336" s="14">
        <v>51.3</v>
      </c>
      <c r="L336" s="14">
        <v>58.3</v>
      </c>
      <c r="M336" s="14">
        <v>54.4</v>
      </c>
    </row>
    <row r="337" ht="14.25" customHeight="1">
      <c r="A337" s="15">
        <v>765.0</v>
      </c>
      <c r="B337" s="13" t="s">
        <v>56</v>
      </c>
      <c r="C337" s="9">
        <v>27.8</v>
      </c>
      <c r="D337" s="14">
        <v>21.5</v>
      </c>
      <c r="E337" s="14">
        <v>33.4</v>
      </c>
      <c r="F337" s="14">
        <v>41.6</v>
      </c>
      <c r="G337" s="14">
        <v>54.8</v>
      </c>
      <c r="H337" s="14">
        <v>37.3</v>
      </c>
      <c r="I337" s="14">
        <v>28.8</v>
      </c>
      <c r="J337" s="9">
        <v>46.9</v>
      </c>
      <c r="K337" s="14">
        <v>48.9</v>
      </c>
      <c r="L337" s="14">
        <v>55.9</v>
      </c>
      <c r="M337" s="14">
        <v>51.7</v>
      </c>
    </row>
    <row r="338" ht="14.25" customHeight="1">
      <c r="A338" s="15">
        <v>766.0</v>
      </c>
      <c r="B338" s="13" t="s">
        <v>56</v>
      </c>
      <c r="C338" s="9">
        <v>32.1</v>
      </c>
      <c r="D338" s="14">
        <v>24.5</v>
      </c>
      <c r="E338" s="14">
        <v>35.3</v>
      </c>
      <c r="F338" s="14">
        <v>44.4</v>
      </c>
      <c r="G338" s="14">
        <v>60.4</v>
      </c>
      <c r="H338" s="14">
        <v>41.3</v>
      </c>
      <c r="I338" s="14">
        <v>28.4</v>
      </c>
      <c r="J338" s="9">
        <v>50.5</v>
      </c>
      <c r="K338" s="14">
        <v>53.7</v>
      </c>
      <c r="L338" s="14">
        <v>62.1</v>
      </c>
      <c r="M338" s="14">
        <v>57.9</v>
      </c>
    </row>
    <row r="339" ht="14.25" customHeight="1">
      <c r="A339" s="15">
        <v>767.0</v>
      </c>
      <c r="B339" s="13" t="s">
        <v>56</v>
      </c>
      <c r="C339" s="9">
        <v>30.5</v>
      </c>
      <c r="D339" s="14">
        <v>23.7</v>
      </c>
      <c r="E339" s="14">
        <v>34.2</v>
      </c>
      <c r="F339" s="14">
        <v>43.4</v>
      </c>
      <c r="G339" s="14">
        <v>58.8</v>
      </c>
      <c r="H339" s="14">
        <v>41.0</v>
      </c>
      <c r="I339" s="14">
        <v>29.6</v>
      </c>
      <c r="J339" s="9">
        <v>47.0</v>
      </c>
      <c r="K339" s="14">
        <v>51.8</v>
      </c>
      <c r="L339" s="14">
        <v>60.3</v>
      </c>
      <c r="M339" s="14">
        <v>56.5</v>
      </c>
    </row>
    <row r="340" ht="14.25" customHeight="1">
      <c r="A340" s="15">
        <v>768.0</v>
      </c>
      <c r="B340" s="13" t="s">
        <v>56</v>
      </c>
      <c r="C340" s="9">
        <v>27.8</v>
      </c>
      <c r="D340" s="14">
        <v>24.6</v>
      </c>
      <c r="E340" s="14">
        <v>35.8</v>
      </c>
      <c r="F340" s="14">
        <v>43.2</v>
      </c>
      <c r="G340" s="14">
        <v>57.9</v>
      </c>
      <c r="H340" s="14">
        <v>41.0</v>
      </c>
      <c r="I340" s="14">
        <v>29.7</v>
      </c>
      <c r="J340" s="9">
        <v>47.0</v>
      </c>
      <c r="K340" s="14">
        <v>52.7</v>
      </c>
      <c r="L340" s="14">
        <v>60.6</v>
      </c>
      <c r="M340" s="14">
        <v>56.0</v>
      </c>
    </row>
    <row r="341" ht="14.25" customHeight="1">
      <c r="A341" s="15">
        <v>769.0</v>
      </c>
      <c r="B341" s="13" t="s">
        <v>56</v>
      </c>
      <c r="C341" s="9">
        <v>29.8</v>
      </c>
      <c r="D341" s="14">
        <v>22.5</v>
      </c>
      <c r="E341" s="14">
        <v>36.8</v>
      </c>
      <c r="F341" s="14">
        <v>44.8</v>
      </c>
      <c r="G341" s="14">
        <v>58.4</v>
      </c>
      <c r="H341" s="14">
        <v>40.6</v>
      </c>
      <c r="I341" s="14">
        <v>29.9</v>
      </c>
      <c r="J341" s="9">
        <v>46.1</v>
      </c>
      <c r="K341" s="14">
        <v>52.4</v>
      </c>
      <c r="L341" s="14">
        <v>60.8</v>
      </c>
      <c r="M341" s="14">
        <v>56.1</v>
      </c>
    </row>
    <row r="342" ht="14.25" customHeight="1">
      <c r="A342" s="15">
        <v>770.0</v>
      </c>
      <c r="B342" s="13" t="s">
        <v>56</v>
      </c>
      <c r="C342" s="9">
        <v>31.2</v>
      </c>
      <c r="D342" s="14">
        <v>23.6</v>
      </c>
      <c r="E342" s="14">
        <v>37.1</v>
      </c>
      <c r="F342" s="14">
        <v>43.8</v>
      </c>
      <c r="G342" s="14">
        <v>59.2</v>
      </c>
      <c r="H342" s="14">
        <v>39.5</v>
      </c>
      <c r="I342" s="14">
        <v>29.5</v>
      </c>
      <c r="J342" s="9">
        <v>47.6</v>
      </c>
      <c r="K342" s="14">
        <v>53.2</v>
      </c>
      <c r="L342" s="14">
        <v>61.8</v>
      </c>
      <c r="M342" s="14">
        <v>56.9</v>
      </c>
    </row>
    <row r="343" ht="14.25" customHeight="1">
      <c r="A343" s="15">
        <v>771.0</v>
      </c>
      <c r="B343" s="13" t="s">
        <v>56</v>
      </c>
      <c r="C343" s="9">
        <v>31.1</v>
      </c>
      <c r="D343" s="14">
        <v>23.2</v>
      </c>
      <c r="E343" s="14">
        <v>36.8</v>
      </c>
      <c r="F343" s="14">
        <v>42.8</v>
      </c>
      <c r="G343" s="14">
        <v>59.4</v>
      </c>
      <c r="H343" s="14">
        <v>39.8</v>
      </c>
      <c r="I343" s="14">
        <v>30.2</v>
      </c>
      <c r="J343" s="9">
        <v>48.4</v>
      </c>
      <c r="K343" s="14">
        <v>54.4</v>
      </c>
      <c r="L343" s="14">
        <v>61.2</v>
      </c>
      <c r="M343" s="14">
        <v>56.6</v>
      </c>
    </row>
    <row r="344" ht="14.25" customHeight="1">
      <c r="A344" s="15">
        <v>772.0</v>
      </c>
      <c r="B344" s="13" t="s">
        <v>56</v>
      </c>
      <c r="C344" s="9">
        <v>28.8</v>
      </c>
      <c r="D344" s="14">
        <v>25.0</v>
      </c>
      <c r="E344" s="14">
        <v>38.7</v>
      </c>
      <c r="F344" s="14">
        <v>44.6</v>
      </c>
      <c r="G344" s="14">
        <v>61.3</v>
      </c>
      <c r="H344" s="14">
        <v>42.6</v>
      </c>
      <c r="I344" s="14">
        <v>30.6</v>
      </c>
      <c r="J344" s="9">
        <v>49.7</v>
      </c>
      <c r="K344" s="14">
        <v>54.0</v>
      </c>
      <c r="L344" s="14">
        <v>63.1</v>
      </c>
      <c r="M344" s="14">
        <v>58.9</v>
      </c>
    </row>
    <row r="345" ht="14.25" customHeight="1">
      <c r="A345" s="15">
        <v>773.0</v>
      </c>
      <c r="B345" s="13" t="s">
        <v>56</v>
      </c>
      <c r="C345" s="9">
        <v>30.5</v>
      </c>
      <c r="D345" s="14">
        <v>23.1</v>
      </c>
      <c r="E345" s="14">
        <v>37.2</v>
      </c>
      <c r="F345" s="14">
        <v>44.0</v>
      </c>
      <c r="G345" s="14">
        <v>58.8</v>
      </c>
      <c r="H345" s="14">
        <v>39.5</v>
      </c>
      <c r="I345" s="14">
        <v>29.8</v>
      </c>
      <c r="J345" s="9">
        <v>48.3</v>
      </c>
      <c r="K345" s="14">
        <v>52.2</v>
      </c>
      <c r="L345" s="14">
        <v>59.2</v>
      </c>
      <c r="M345" s="14">
        <v>56.1</v>
      </c>
    </row>
    <row r="346" ht="14.25" customHeight="1">
      <c r="A346" s="15">
        <v>774.0</v>
      </c>
      <c r="B346" s="13" t="s">
        <v>56</v>
      </c>
      <c r="C346" s="9">
        <v>30.5</v>
      </c>
      <c r="D346" s="14">
        <v>24.5</v>
      </c>
      <c r="E346" s="14">
        <v>36.1</v>
      </c>
      <c r="F346" s="14">
        <v>45.9</v>
      </c>
      <c r="G346" s="14">
        <v>61.7</v>
      </c>
      <c r="H346" s="14">
        <v>42.4</v>
      </c>
      <c r="I346" s="14">
        <v>29.5</v>
      </c>
      <c r="J346" s="9">
        <v>49.3</v>
      </c>
      <c r="K346" s="14">
        <v>54.4</v>
      </c>
      <c r="L346" s="14">
        <v>63.3</v>
      </c>
      <c r="M346" s="14">
        <v>58.9</v>
      </c>
    </row>
    <row r="347" ht="14.25" customHeight="1">
      <c r="A347" s="15">
        <v>511.0</v>
      </c>
      <c r="B347" s="13" t="s">
        <v>57</v>
      </c>
      <c r="C347" s="9">
        <v>56.2</v>
      </c>
      <c r="D347" s="14">
        <v>34.0</v>
      </c>
      <c r="E347" s="14">
        <v>67.57926130377598</v>
      </c>
      <c r="F347" s="14">
        <v>74.1</v>
      </c>
      <c r="G347" s="14">
        <v>111.1</v>
      </c>
      <c r="H347" s="14">
        <v>88.1</v>
      </c>
      <c r="I347" s="14">
        <v>40.8</v>
      </c>
      <c r="J347" s="9">
        <v>74.5</v>
      </c>
      <c r="K347" s="14">
        <v>110.2</v>
      </c>
      <c r="L347" s="14">
        <v>129.2</v>
      </c>
      <c r="M347" s="14">
        <v>121.0</v>
      </c>
    </row>
    <row r="348" ht="14.25" customHeight="1">
      <c r="A348" s="15">
        <v>512.0</v>
      </c>
      <c r="B348" s="13" t="s">
        <v>57</v>
      </c>
      <c r="C348" s="9">
        <v>52.2</v>
      </c>
      <c r="D348" s="14">
        <v>33.4</v>
      </c>
      <c r="E348" s="14">
        <v>58.1</v>
      </c>
      <c r="F348" s="14">
        <v>68.2</v>
      </c>
      <c r="G348" s="14">
        <v>105.2</v>
      </c>
      <c r="H348" s="14">
        <v>86.6</v>
      </c>
      <c r="I348" s="14">
        <v>40.0</v>
      </c>
      <c r="J348" s="9">
        <v>67.6</v>
      </c>
      <c r="K348" s="14">
        <v>100.7</v>
      </c>
      <c r="L348" s="14">
        <v>121.5</v>
      </c>
      <c r="M348" s="14">
        <v>115.5</v>
      </c>
    </row>
    <row r="349" ht="14.25" customHeight="1">
      <c r="A349" s="15">
        <v>513.0</v>
      </c>
      <c r="B349" s="13" t="s">
        <v>57</v>
      </c>
      <c r="C349" s="9">
        <v>50.4</v>
      </c>
      <c r="D349" s="14">
        <v>32.6</v>
      </c>
      <c r="E349" s="14">
        <v>57.5</v>
      </c>
      <c r="F349" s="14">
        <v>65.6</v>
      </c>
      <c r="G349" s="14">
        <v>100.6</v>
      </c>
      <c r="H349" s="14">
        <v>81.2</v>
      </c>
      <c r="I349" s="14">
        <v>38.1</v>
      </c>
      <c r="J349" s="9">
        <v>65.7</v>
      </c>
      <c r="K349" s="14">
        <v>97.0</v>
      </c>
      <c r="L349" s="14">
        <v>115.5</v>
      </c>
      <c r="M349" s="14">
        <v>109.5</v>
      </c>
    </row>
    <row r="350" ht="14.25" customHeight="1">
      <c r="A350" s="15">
        <v>514.0</v>
      </c>
      <c r="B350" s="13" t="s">
        <v>57</v>
      </c>
      <c r="C350" s="9">
        <v>59.6</v>
      </c>
      <c r="D350" s="14">
        <v>36.7</v>
      </c>
      <c r="E350" s="14">
        <v>65.4</v>
      </c>
      <c r="F350" s="14">
        <v>75.1</v>
      </c>
      <c r="G350" s="14">
        <v>113.3</v>
      </c>
      <c r="H350" s="14">
        <v>88.2</v>
      </c>
      <c r="I350" s="14">
        <v>39.8</v>
      </c>
      <c r="J350" s="9">
        <v>70.8</v>
      </c>
      <c r="K350" s="14">
        <v>109.9</v>
      </c>
      <c r="L350" s="14">
        <v>130.7</v>
      </c>
      <c r="M350" s="14">
        <v>123.7</v>
      </c>
    </row>
    <row r="351" ht="14.25" customHeight="1">
      <c r="A351" s="15">
        <v>515.0</v>
      </c>
      <c r="B351" s="13" t="s">
        <v>57</v>
      </c>
      <c r="C351" s="9">
        <v>53.3</v>
      </c>
      <c r="D351" s="14">
        <v>36.6</v>
      </c>
      <c r="E351" s="14">
        <v>62.9</v>
      </c>
      <c r="F351" s="14">
        <v>72.9</v>
      </c>
      <c r="G351" s="14">
        <v>108.4</v>
      </c>
      <c r="H351" s="14">
        <v>86.4</v>
      </c>
      <c r="I351" s="14">
        <v>40.6</v>
      </c>
      <c r="J351" s="9">
        <v>72.4</v>
      </c>
      <c r="K351" s="14">
        <v>106.8</v>
      </c>
      <c r="L351" s="14">
        <v>123.5</v>
      </c>
      <c r="M351" s="14">
        <v>117.7</v>
      </c>
    </row>
    <row r="352" ht="14.25" customHeight="1">
      <c r="A352" s="15">
        <v>516.0</v>
      </c>
      <c r="B352" s="13" t="s">
        <v>57</v>
      </c>
      <c r="C352" s="9">
        <v>53.2</v>
      </c>
      <c r="D352" s="14">
        <v>33.2</v>
      </c>
      <c r="E352" s="14">
        <v>56.6</v>
      </c>
      <c r="F352" s="14">
        <v>69.9</v>
      </c>
      <c r="G352" s="14">
        <v>105.8</v>
      </c>
      <c r="H352" s="14">
        <v>85.2</v>
      </c>
      <c r="I352" s="14">
        <v>38.9</v>
      </c>
      <c r="J352" s="9">
        <v>64.9</v>
      </c>
      <c r="K352" s="14">
        <v>102.0</v>
      </c>
      <c r="L352" s="14">
        <v>119.5</v>
      </c>
      <c r="M352" s="14">
        <v>114.5</v>
      </c>
    </row>
    <row r="353" ht="14.25" customHeight="1">
      <c r="A353" s="15">
        <v>517.0</v>
      </c>
      <c r="B353" s="13" t="s">
        <v>57</v>
      </c>
      <c r="C353" s="9">
        <v>57.8</v>
      </c>
      <c r="D353" s="14">
        <v>34.8</v>
      </c>
      <c r="E353" s="14">
        <v>56.6</v>
      </c>
      <c r="F353" s="14">
        <v>73.3</v>
      </c>
      <c r="G353" s="14">
        <v>115.1</v>
      </c>
      <c r="H353" s="14">
        <v>89.4</v>
      </c>
      <c r="I353" s="14">
        <v>40.4</v>
      </c>
      <c r="J353" s="9">
        <v>71.3</v>
      </c>
      <c r="K353" s="14">
        <v>108.3</v>
      </c>
      <c r="L353" s="14">
        <v>128.1</v>
      </c>
      <c r="M353" s="14">
        <v>122.8</v>
      </c>
    </row>
    <row r="354" ht="14.25" customHeight="1">
      <c r="A354" s="15">
        <v>518.0</v>
      </c>
      <c r="B354" s="13" t="s">
        <v>57</v>
      </c>
      <c r="C354" s="9">
        <v>56.3</v>
      </c>
      <c r="D354" s="14">
        <v>35.8</v>
      </c>
      <c r="E354" s="14">
        <v>64.1</v>
      </c>
      <c r="F354" s="14">
        <v>75.8</v>
      </c>
      <c r="G354" s="14">
        <v>115.1</v>
      </c>
      <c r="H354" s="14">
        <v>89.5</v>
      </c>
      <c r="I354" s="14">
        <v>40.9</v>
      </c>
      <c r="J354" s="9">
        <v>74.6</v>
      </c>
      <c r="K354" s="14">
        <v>112.1</v>
      </c>
      <c r="L354" s="14">
        <v>128.9</v>
      </c>
      <c r="M354" s="14">
        <v>124.1</v>
      </c>
    </row>
    <row r="355" ht="14.25" customHeight="1">
      <c r="A355" s="15">
        <v>519.0</v>
      </c>
      <c r="B355" s="13" t="s">
        <v>57</v>
      </c>
      <c r="C355" s="9">
        <v>49.3</v>
      </c>
      <c r="D355" s="14">
        <v>33.8</v>
      </c>
      <c r="E355" s="14">
        <v>58.4</v>
      </c>
      <c r="F355" s="14">
        <v>70.1</v>
      </c>
      <c r="G355" s="14">
        <v>107.0</v>
      </c>
      <c r="H355" s="14">
        <v>84.8</v>
      </c>
      <c r="I355" s="14">
        <v>39.2</v>
      </c>
      <c r="J355" s="9">
        <v>69.8</v>
      </c>
      <c r="K355" s="14">
        <v>103.0</v>
      </c>
      <c r="L355" s="14">
        <v>120.8</v>
      </c>
      <c r="M355" s="14">
        <v>114.1</v>
      </c>
    </row>
    <row r="356" ht="14.25" customHeight="1">
      <c r="A356" s="15">
        <v>520.0</v>
      </c>
      <c r="B356" s="13" t="s">
        <v>57</v>
      </c>
      <c r="C356" s="9">
        <v>52.5</v>
      </c>
      <c r="D356" s="14">
        <v>34.4</v>
      </c>
      <c r="E356" s="14">
        <v>66.3</v>
      </c>
      <c r="F356" s="14">
        <v>77.1</v>
      </c>
      <c r="G356" s="14">
        <v>116.3</v>
      </c>
      <c r="H356" s="14">
        <v>93.2</v>
      </c>
      <c r="I356" s="14">
        <v>41.4</v>
      </c>
      <c r="J356" s="9">
        <v>73.6</v>
      </c>
      <c r="K356" s="14">
        <v>112.3</v>
      </c>
      <c r="L356" s="14">
        <v>134.6</v>
      </c>
      <c r="M356" s="14">
        <v>127.1</v>
      </c>
    </row>
    <row r="357" ht="14.25" customHeight="1">
      <c r="A357" s="15">
        <v>521.0</v>
      </c>
      <c r="B357" s="13" t="s">
        <v>57</v>
      </c>
      <c r="C357" s="9">
        <v>50.2</v>
      </c>
      <c r="D357" s="14">
        <v>33.1</v>
      </c>
      <c r="E357" s="14">
        <v>56.1</v>
      </c>
      <c r="F357" s="14">
        <v>68.0</v>
      </c>
      <c r="G357" s="14">
        <v>103.1</v>
      </c>
      <c r="H357" s="14">
        <v>82.6</v>
      </c>
      <c r="I357" s="14">
        <v>38.7</v>
      </c>
      <c r="J357" s="9">
        <v>66.5</v>
      </c>
      <c r="K357" s="14">
        <v>99.9</v>
      </c>
      <c r="L357" s="14">
        <v>116.8</v>
      </c>
      <c r="M357" s="14">
        <v>111.1</v>
      </c>
    </row>
    <row r="358" ht="14.25" customHeight="1">
      <c r="A358" s="15">
        <v>522.0</v>
      </c>
      <c r="B358" s="13" t="s">
        <v>57</v>
      </c>
      <c r="C358" s="9">
        <v>54.1</v>
      </c>
      <c r="D358" s="14">
        <v>35.6</v>
      </c>
      <c r="E358" s="14">
        <v>63.70932114036358</v>
      </c>
      <c r="F358" s="14">
        <v>77.6</v>
      </c>
      <c r="G358" s="14">
        <v>112.3</v>
      </c>
      <c r="H358" s="14">
        <v>88.6</v>
      </c>
      <c r="I358" s="14">
        <v>41.2</v>
      </c>
      <c r="J358" s="9">
        <v>73.6</v>
      </c>
      <c r="K358" s="14">
        <v>110.4</v>
      </c>
      <c r="L358" s="14">
        <v>127.4</v>
      </c>
      <c r="M358" s="14">
        <v>121.9</v>
      </c>
    </row>
    <row r="359" ht="14.25" customHeight="1">
      <c r="A359" s="15">
        <v>523.0</v>
      </c>
      <c r="B359" s="13" t="s">
        <v>57</v>
      </c>
      <c r="C359" s="9">
        <v>54.2</v>
      </c>
      <c r="D359" s="14">
        <v>35.2</v>
      </c>
      <c r="E359" s="14">
        <v>61.8</v>
      </c>
      <c r="F359" s="14">
        <v>74.4</v>
      </c>
      <c r="G359" s="14">
        <v>110.4</v>
      </c>
      <c r="H359" s="14">
        <v>89.4</v>
      </c>
      <c r="I359" s="14">
        <v>40.6</v>
      </c>
      <c r="J359" s="9">
        <v>73.6</v>
      </c>
      <c r="K359" s="14">
        <v>108.9</v>
      </c>
      <c r="L359" s="14">
        <v>127.9</v>
      </c>
      <c r="M359" s="14">
        <v>122.5</v>
      </c>
    </row>
    <row r="360" ht="14.25" customHeight="1">
      <c r="A360" s="15">
        <v>524.0</v>
      </c>
      <c r="B360" s="13" t="s">
        <v>57</v>
      </c>
      <c r="C360" s="9">
        <v>51.2</v>
      </c>
      <c r="D360" s="14">
        <v>35.5</v>
      </c>
      <c r="E360" s="14">
        <v>66.4</v>
      </c>
      <c r="F360" s="14">
        <v>77.7</v>
      </c>
      <c r="G360" s="14">
        <v>115.2</v>
      </c>
      <c r="H360" s="14">
        <v>91.6</v>
      </c>
      <c r="I360" s="14">
        <v>42.6</v>
      </c>
      <c r="J360" s="9">
        <v>77.0</v>
      </c>
      <c r="K360" s="14">
        <v>111.5</v>
      </c>
      <c r="L360" s="14">
        <v>130.8</v>
      </c>
      <c r="M360" s="14">
        <v>122.1</v>
      </c>
    </row>
    <row r="361" ht="14.25" customHeight="1">
      <c r="A361" s="15">
        <v>525.0</v>
      </c>
      <c r="B361" s="13" t="s">
        <v>57</v>
      </c>
      <c r="C361" s="9">
        <v>55.7</v>
      </c>
      <c r="D361" s="14">
        <v>34.9</v>
      </c>
      <c r="E361" s="14">
        <v>63.1</v>
      </c>
      <c r="F361" s="14">
        <v>74.5</v>
      </c>
      <c r="G361" s="14">
        <v>112.8</v>
      </c>
      <c r="H361" s="14">
        <v>87.7</v>
      </c>
      <c r="I361" s="14">
        <v>40.039541412598716</v>
      </c>
      <c r="J361" s="9">
        <v>71.0</v>
      </c>
      <c r="K361" s="14">
        <v>110.6</v>
      </c>
      <c r="L361" s="14">
        <v>129.9</v>
      </c>
      <c r="M361" s="14">
        <v>122.1</v>
      </c>
    </row>
    <row r="362" ht="14.25" customHeight="1">
      <c r="A362" s="15">
        <v>526.0</v>
      </c>
      <c r="B362" s="13" t="s">
        <v>57</v>
      </c>
      <c r="C362" s="9">
        <v>48.6</v>
      </c>
      <c r="D362" s="14">
        <v>38.9</v>
      </c>
      <c r="E362" s="14">
        <v>56.4</v>
      </c>
      <c r="F362" s="14">
        <v>69.6</v>
      </c>
      <c r="G362" s="14">
        <v>104.26610285075702</v>
      </c>
      <c r="H362" s="14">
        <v>82.91379037148208</v>
      </c>
      <c r="I362" s="14">
        <v>38.863447532127594</v>
      </c>
      <c r="J362" s="9">
        <v>68.30537274817645</v>
      </c>
      <c r="K362" s="14">
        <v>102.59016601065301</v>
      </c>
      <c r="L362" s="14">
        <v>118.55018819172457</v>
      </c>
      <c r="M362" s="14">
        <v>112.58682680135482</v>
      </c>
    </row>
    <row r="363" ht="14.25" customHeight="1">
      <c r="A363" s="15">
        <v>527.0</v>
      </c>
      <c r="B363" s="13" t="s">
        <v>57</v>
      </c>
      <c r="C363" s="9">
        <v>53.614056112899405</v>
      </c>
      <c r="D363" s="14">
        <v>34.69138769367719</v>
      </c>
      <c r="E363" s="14">
        <v>63.55410079844168</v>
      </c>
      <c r="F363" s="14">
        <v>75.41644445958003</v>
      </c>
      <c r="G363" s="14">
        <v>112.6916018356618</v>
      </c>
      <c r="H363" s="14">
        <v>89.64125300060259</v>
      </c>
      <c r="I363" s="14">
        <v>41.4</v>
      </c>
      <c r="J363" s="9">
        <v>73.5</v>
      </c>
      <c r="K363" s="14">
        <v>109.33802056926532</v>
      </c>
      <c r="L363" s="14">
        <v>128.29118946197823</v>
      </c>
      <c r="M363" s="14">
        <v>121.8470499222433</v>
      </c>
    </row>
    <row r="364" ht="14.25" customHeight="1">
      <c r="A364" s="15">
        <v>528.0</v>
      </c>
      <c r="B364" s="13" t="s">
        <v>57</v>
      </c>
      <c r="C364" s="9">
        <v>53.35793945370884</v>
      </c>
      <c r="D364" s="14">
        <v>34.905735032953196</v>
      </c>
      <c r="E364" s="14">
        <v>63.1</v>
      </c>
      <c r="F364" s="14">
        <v>74.27427185023087</v>
      </c>
      <c r="G364" s="14">
        <v>111.390922571143</v>
      </c>
      <c r="H364" s="14">
        <v>88.55550980003346</v>
      </c>
      <c r="I364" s="14">
        <v>40.680790124743616</v>
      </c>
      <c r="J364" s="9">
        <v>72.67178319888316</v>
      </c>
      <c r="K364" s="14">
        <v>108.55837098798158</v>
      </c>
      <c r="L364" s="14">
        <v>127.15128271343106</v>
      </c>
      <c r="M364" s="14">
        <v>120.70220217880868</v>
      </c>
    </row>
    <row r="365" ht="14.25" customHeight="1">
      <c r="A365" s="15">
        <v>529.0</v>
      </c>
      <c r="B365" s="13" t="s">
        <v>57</v>
      </c>
      <c r="C365" s="9">
        <v>50.0</v>
      </c>
      <c r="D365" s="14">
        <v>31.4</v>
      </c>
      <c r="E365" s="14">
        <v>55.8</v>
      </c>
      <c r="F365" s="14">
        <v>68.5</v>
      </c>
      <c r="G365" s="14">
        <v>98.9</v>
      </c>
      <c r="H365" s="14">
        <v>80.0</v>
      </c>
      <c r="I365" s="14">
        <v>39.0</v>
      </c>
      <c r="J365" s="9">
        <v>63.7</v>
      </c>
      <c r="K365" s="14">
        <v>96.27053818019206</v>
      </c>
      <c r="L365" s="14">
        <v>114.1</v>
      </c>
      <c r="M365" s="14">
        <v>108.5</v>
      </c>
    </row>
    <row r="366" ht="14.25" customHeight="1">
      <c r="A366" s="15">
        <v>530.0</v>
      </c>
      <c r="B366" s="13" t="s">
        <v>57</v>
      </c>
      <c r="C366" s="9">
        <v>48.6</v>
      </c>
      <c r="D366" s="14">
        <v>30.5</v>
      </c>
      <c r="E366" s="14">
        <v>58.5</v>
      </c>
      <c r="F366" s="14">
        <v>69.97263317849342</v>
      </c>
      <c r="G366" s="14">
        <v>104.41926836449953</v>
      </c>
      <c r="H366" s="14">
        <v>84.34785899269367</v>
      </c>
      <c r="I366" s="14">
        <v>39.81264782455968</v>
      </c>
      <c r="J366" s="9">
        <v>69.22837670597707</v>
      </c>
      <c r="K366" s="14">
        <v>101.2674868503661</v>
      </c>
      <c r="L366" s="14">
        <v>119.8168057947757</v>
      </c>
      <c r="M366" s="14">
        <v>113.58167350206101</v>
      </c>
    </row>
    <row r="367" ht="14.25" customHeight="1">
      <c r="A367" s="15">
        <v>531.0</v>
      </c>
      <c r="B367" s="13" t="s">
        <v>57</v>
      </c>
      <c r="C367" s="9">
        <v>48.3</v>
      </c>
      <c r="D367" s="14">
        <v>33.7</v>
      </c>
      <c r="E367" s="14">
        <v>56.9</v>
      </c>
      <c r="F367" s="14">
        <v>67.7</v>
      </c>
      <c r="G367" s="14">
        <v>102.3</v>
      </c>
      <c r="H367" s="14">
        <v>80.6</v>
      </c>
      <c r="I367" s="14">
        <v>38.9</v>
      </c>
      <c r="J367" s="9">
        <v>65.9</v>
      </c>
      <c r="K367" s="14">
        <v>99.7</v>
      </c>
      <c r="L367" s="14">
        <v>117.7</v>
      </c>
      <c r="M367" s="14">
        <v>111.2</v>
      </c>
    </row>
    <row r="368" ht="14.25" customHeight="1">
      <c r="A368" s="15">
        <v>532.0</v>
      </c>
      <c r="B368" s="13" t="s">
        <v>57</v>
      </c>
      <c r="C368" s="9">
        <v>54.8</v>
      </c>
      <c r="D368" s="14">
        <v>36.6</v>
      </c>
      <c r="E368" s="14">
        <v>64.1</v>
      </c>
      <c r="F368" s="14">
        <v>76.2</v>
      </c>
      <c r="G368" s="14">
        <v>114.6505561025824</v>
      </c>
      <c r="H368" s="14">
        <v>90.4</v>
      </c>
      <c r="I368" s="14">
        <v>41.3</v>
      </c>
      <c r="J368" s="9">
        <v>73.4</v>
      </c>
      <c r="K368" s="14">
        <v>111.5</v>
      </c>
      <c r="L368" s="14">
        <v>130.6</v>
      </c>
      <c r="M368" s="14">
        <v>123.9</v>
      </c>
    </row>
    <row r="369" ht="14.25" customHeight="1">
      <c r="A369" s="15">
        <v>533.0</v>
      </c>
      <c r="B369" s="13" t="s">
        <v>57</v>
      </c>
      <c r="C369" s="9">
        <v>55.8</v>
      </c>
      <c r="D369" s="14">
        <v>36.6</v>
      </c>
      <c r="E369" s="14">
        <v>68.3</v>
      </c>
      <c r="F369" s="14">
        <v>77.7</v>
      </c>
      <c r="G369" s="14">
        <v>118.0</v>
      </c>
      <c r="H369" s="14">
        <v>96.0</v>
      </c>
      <c r="I369" s="14">
        <v>41.3</v>
      </c>
      <c r="J369" s="9">
        <v>76.3</v>
      </c>
      <c r="K369" s="14">
        <v>114.8</v>
      </c>
      <c r="L369" s="14">
        <v>132.7</v>
      </c>
      <c r="M369" s="14">
        <v>127.1</v>
      </c>
    </row>
    <row r="370" ht="14.25" customHeight="1">
      <c r="A370" s="15">
        <v>534.0</v>
      </c>
      <c r="B370" s="13" t="s">
        <v>57</v>
      </c>
      <c r="C370" s="9">
        <v>50.6</v>
      </c>
      <c r="D370" s="14">
        <v>38.1</v>
      </c>
      <c r="E370" s="14">
        <v>61.2</v>
      </c>
      <c r="F370" s="14">
        <v>72.4</v>
      </c>
      <c r="G370" s="14">
        <v>107.7</v>
      </c>
      <c r="H370" s="14">
        <v>85.4</v>
      </c>
      <c r="I370" s="14">
        <v>39.70118917888026</v>
      </c>
      <c r="J370" s="9">
        <v>71.43361501110583</v>
      </c>
      <c r="K370" s="14">
        <v>107.4</v>
      </c>
      <c r="L370" s="14">
        <v>124.4</v>
      </c>
      <c r="M370" s="14">
        <v>117.5</v>
      </c>
    </row>
    <row r="371" ht="14.25" customHeight="1">
      <c r="A371" s="15">
        <v>535.0</v>
      </c>
      <c r="B371" s="13" t="s">
        <v>57</v>
      </c>
      <c r="C371" s="9">
        <v>48.0</v>
      </c>
      <c r="D371" s="14">
        <v>32.3</v>
      </c>
      <c r="E371" s="14">
        <v>56.0</v>
      </c>
      <c r="F371" s="14">
        <v>70.0</v>
      </c>
      <c r="G371" s="14">
        <v>104.4</v>
      </c>
      <c r="H371" s="14">
        <v>83.5</v>
      </c>
      <c r="I371" s="14">
        <v>39.2</v>
      </c>
      <c r="J371" s="9">
        <v>69.2</v>
      </c>
      <c r="K371" s="14">
        <v>102.7</v>
      </c>
      <c r="L371" s="14">
        <v>120.0</v>
      </c>
      <c r="M371" s="14">
        <v>114.1</v>
      </c>
    </row>
    <row r="372" ht="14.25" customHeight="1">
      <c r="A372" s="15">
        <v>536.0</v>
      </c>
      <c r="B372" s="13" t="s">
        <v>57</v>
      </c>
      <c r="C372" s="9">
        <v>55.0</v>
      </c>
      <c r="D372" s="14">
        <v>34.2</v>
      </c>
      <c r="E372" s="14">
        <v>64.6</v>
      </c>
      <c r="F372" s="14">
        <v>75.2</v>
      </c>
      <c r="G372" s="14">
        <v>114.5</v>
      </c>
      <c r="H372" s="14">
        <v>90.0</v>
      </c>
      <c r="I372" s="14">
        <v>42.2</v>
      </c>
      <c r="J372" s="9">
        <v>75.4</v>
      </c>
      <c r="K372" s="14">
        <v>110.9</v>
      </c>
      <c r="L372" s="14">
        <v>129.9</v>
      </c>
      <c r="M372" s="14">
        <v>124.2</v>
      </c>
    </row>
    <row r="373" ht="14.25" customHeight="1">
      <c r="A373" s="15">
        <v>537.0</v>
      </c>
      <c r="B373" s="13" t="s">
        <v>57</v>
      </c>
      <c r="C373" s="9">
        <v>48.7</v>
      </c>
      <c r="D373" s="14">
        <v>31.5</v>
      </c>
      <c r="E373" s="14">
        <v>59.3</v>
      </c>
      <c r="F373" s="14">
        <v>70.6</v>
      </c>
      <c r="G373" s="14">
        <v>107.3</v>
      </c>
      <c r="H373" s="14">
        <v>86.1</v>
      </c>
      <c r="I373" s="14">
        <v>39.6</v>
      </c>
      <c r="J373" s="9">
        <v>72.0</v>
      </c>
      <c r="K373" s="14">
        <v>105.4</v>
      </c>
      <c r="L373" s="14">
        <v>123.7</v>
      </c>
      <c r="M373" s="14">
        <v>117.8</v>
      </c>
    </row>
    <row r="374" ht="14.25" customHeight="1">
      <c r="A374" s="15">
        <v>538.0</v>
      </c>
      <c r="B374" s="13" t="s">
        <v>57</v>
      </c>
      <c r="C374" s="9">
        <v>51.0</v>
      </c>
      <c r="D374" s="14">
        <v>32.6</v>
      </c>
      <c r="E374" s="14">
        <v>57.4</v>
      </c>
      <c r="F374" s="14">
        <v>69.4</v>
      </c>
      <c r="G374" s="14">
        <v>104.5</v>
      </c>
      <c r="H374" s="14">
        <v>83.5</v>
      </c>
      <c r="I374" s="14">
        <v>40.1</v>
      </c>
      <c r="J374" s="9">
        <v>70.0</v>
      </c>
      <c r="K374" s="14">
        <v>101.4</v>
      </c>
      <c r="L374" s="14">
        <v>119.3</v>
      </c>
      <c r="M374" s="14">
        <v>113.3</v>
      </c>
    </row>
    <row r="375" ht="14.25" customHeight="1">
      <c r="A375" s="15">
        <v>539.0</v>
      </c>
      <c r="B375" s="13" t="s">
        <v>57</v>
      </c>
      <c r="C375" s="9">
        <v>50.0</v>
      </c>
      <c r="D375" s="14">
        <v>33.9</v>
      </c>
      <c r="E375" s="14">
        <v>60.9</v>
      </c>
      <c r="F375" s="14">
        <v>73.3</v>
      </c>
      <c r="G375" s="14">
        <v>110.7</v>
      </c>
      <c r="H375" s="14">
        <v>87.0</v>
      </c>
      <c r="I375" s="14">
        <v>40.59022542673814</v>
      </c>
      <c r="J375" s="9">
        <v>72.95211870513897</v>
      </c>
      <c r="K375" s="14">
        <v>107.7</v>
      </c>
      <c r="L375" s="14">
        <v>125.0</v>
      </c>
      <c r="M375" s="14">
        <v>119.6</v>
      </c>
    </row>
    <row r="376" ht="14.25" customHeight="1">
      <c r="A376" s="15">
        <v>540.0</v>
      </c>
      <c r="B376" s="13" t="s">
        <v>57</v>
      </c>
      <c r="C376" s="9">
        <v>51.1</v>
      </c>
      <c r="D376" s="14">
        <v>33.5</v>
      </c>
      <c r="E376" s="14">
        <v>54.5</v>
      </c>
      <c r="F376" s="14">
        <v>69.8</v>
      </c>
      <c r="G376" s="14">
        <v>105.8</v>
      </c>
      <c r="H376" s="14">
        <v>85.7</v>
      </c>
      <c r="I376" s="14">
        <v>39.0</v>
      </c>
      <c r="J376" s="9">
        <v>68.2</v>
      </c>
      <c r="K376" s="14">
        <v>101.6</v>
      </c>
      <c r="L376" s="14">
        <v>120.4</v>
      </c>
      <c r="M376" s="14">
        <v>114.8</v>
      </c>
    </row>
    <row r="377" ht="14.25" customHeight="1">
      <c r="A377" s="15">
        <v>541.0</v>
      </c>
      <c r="B377" s="13" t="s">
        <v>57</v>
      </c>
      <c r="C377" s="9">
        <v>48.87715916308334</v>
      </c>
      <c r="D377" s="14">
        <v>33.74478619255727</v>
      </c>
      <c r="E377" s="14">
        <v>61.74600694142014</v>
      </c>
      <c r="F377" s="14">
        <v>77.4</v>
      </c>
      <c r="G377" s="14">
        <v>109.3</v>
      </c>
      <c r="H377" s="14">
        <v>88.4</v>
      </c>
      <c r="I377" s="14">
        <v>41.2</v>
      </c>
      <c r="J377" s="9">
        <v>74.2</v>
      </c>
      <c r="K377" s="14">
        <v>105.9</v>
      </c>
      <c r="L377" s="14">
        <v>122.9</v>
      </c>
      <c r="M377" s="14">
        <v>116.6</v>
      </c>
    </row>
    <row r="378" ht="14.25" customHeight="1">
      <c r="A378" s="15">
        <v>555.0</v>
      </c>
      <c r="B378" s="13" t="s">
        <v>58</v>
      </c>
      <c r="C378" s="9">
        <v>41.9</v>
      </c>
      <c r="D378" s="14">
        <v>27.5</v>
      </c>
      <c r="E378" s="14">
        <v>49.6</v>
      </c>
      <c r="F378" s="14">
        <v>60.9</v>
      </c>
      <c r="G378" s="14">
        <v>83.1</v>
      </c>
      <c r="H378" s="14">
        <v>66.0</v>
      </c>
      <c r="I378" s="14">
        <v>34.0</v>
      </c>
      <c r="J378" s="9">
        <v>57.1</v>
      </c>
      <c r="K378" s="14">
        <v>78.4</v>
      </c>
      <c r="L378" s="14">
        <v>90.7</v>
      </c>
      <c r="M378" s="14">
        <v>84.8</v>
      </c>
    </row>
    <row r="379" ht="14.25" customHeight="1">
      <c r="A379" s="15">
        <v>570.0</v>
      </c>
      <c r="B379" s="13" t="s">
        <v>58</v>
      </c>
      <c r="C379" s="9">
        <v>41.9</v>
      </c>
      <c r="D379" s="14">
        <v>28.7</v>
      </c>
      <c r="E379" s="14">
        <v>46.130886287357924</v>
      </c>
      <c r="F379" s="14">
        <v>57.3</v>
      </c>
      <c r="G379" s="14">
        <v>84.3</v>
      </c>
      <c r="H379" s="14">
        <v>65.1</v>
      </c>
      <c r="I379" s="14">
        <v>34.24768744738841</v>
      </c>
      <c r="J379" s="9">
        <v>56.206519005721056</v>
      </c>
      <c r="K379" s="14">
        <v>77.1</v>
      </c>
      <c r="L379" s="14">
        <v>92.6</v>
      </c>
      <c r="M379" s="14">
        <v>86.2</v>
      </c>
    </row>
    <row r="380" ht="14.25" customHeight="1">
      <c r="A380" s="15">
        <v>573.0</v>
      </c>
      <c r="B380" s="13" t="s">
        <v>58</v>
      </c>
      <c r="C380" s="9">
        <v>50.3</v>
      </c>
      <c r="D380" s="14">
        <v>34.1</v>
      </c>
      <c r="E380" s="14">
        <v>55.0</v>
      </c>
      <c r="F380" s="14">
        <v>70.2</v>
      </c>
      <c r="G380" s="14">
        <v>98.3</v>
      </c>
      <c r="H380" s="14">
        <v>74.9</v>
      </c>
      <c r="I380" s="14">
        <v>38.4</v>
      </c>
      <c r="J380" s="9">
        <v>64.0</v>
      </c>
      <c r="K380" s="14">
        <v>90.5</v>
      </c>
      <c r="L380" s="14">
        <v>105.6</v>
      </c>
      <c r="M380" s="14">
        <v>98.4</v>
      </c>
    </row>
    <row r="381" ht="14.25" customHeight="1">
      <c r="A381" s="15">
        <v>574.0</v>
      </c>
      <c r="B381" s="13" t="s">
        <v>58</v>
      </c>
      <c r="C381" s="9">
        <v>47.2</v>
      </c>
      <c r="D381" s="14">
        <v>33.5</v>
      </c>
      <c r="E381" s="14">
        <v>56.5</v>
      </c>
      <c r="F381" s="14">
        <v>68.8</v>
      </c>
      <c r="G381" s="14">
        <v>97.0</v>
      </c>
      <c r="H381" s="14">
        <v>74.5</v>
      </c>
      <c r="I381" s="14">
        <v>37.8</v>
      </c>
      <c r="J381" s="9">
        <v>64.4</v>
      </c>
      <c r="K381" s="14">
        <v>88.7</v>
      </c>
      <c r="L381" s="14">
        <v>104.0</v>
      </c>
      <c r="M381" s="14">
        <v>98.4</v>
      </c>
    </row>
    <row r="382" ht="14.25" customHeight="1">
      <c r="A382" s="15">
        <v>575.0</v>
      </c>
      <c r="B382" s="13" t="s">
        <v>58</v>
      </c>
      <c r="C382" s="9">
        <v>46.0</v>
      </c>
      <c r="D382" s="14">
        <v>30.7</v>
      </c>
      <c r="E382" s="14">
        <v>52.9</v>
      </c>
      <c r="F382" s="14">
        <v>65.6</v>
      </c>
      <c r="G382" s="14">
        <v>93.2</v>
      </c>
      <c r="H382" s="14">
        <v>71.3</v>
      </c>
      <c r="I382" s="14">
        <v>34.7</v>
      </c>
      <c r="J382" s="9">
        <v>59.3</v>
      </c>
      <c r="K382" s="14">
        <v>84.4</v>
      </c>
      <c r="L382" s="14">
        <v>98.0</v>
      </c>
      <c r="M382" s="14">
        <v>92.2</v>
      </c>
    </row>
    <row r="383" ht="14.25" customHeight="1">
      <c r="A383" s="15">
        <v>577.0</v>
      </c>
      <c r="B383" s="13" t="s">
        <v>58</v>
      </c>
      <c r="C383" s="9">
        <v>44.0</v>
      </c>
      <c r="D383" s="14">
        <v>27.4</v>
      </c>
      <c r="E383" s="14">
        <v>49.6</v>
      </c>
      <c r="F383" s="14">
        <v>61.0</v>
      </c>
      <c r="G383" s="14">
        <v>84.16734384583997</v>
      </c>
      <c r="H383" s="14">
        <v>65.80203896204462</v>
      </c>
      <c r="I383" s="14">
        <v>33.67406230132658</v>
      </c>
      <c r="J383" s="9">
        <v>53.93715944966085</v>
      </c>
      <c r="K383" s="14">
        <v>77.35392274413432</v>
      </c>
      <c r="L383" s="14">
        <v>88.84138869035476</v>
      </c>
      <c r="M383" s="14">
        <v>82.4942465541734</v>
      </c>
    </row>
    <row r="384" ht="14.25" customHeight="1">
      <c r="A384" s="15">
        <v>578.0</v>
      </c>
      <c r="B384" s="13" t="s">
        <v>58</v>
      </c>
      <c r="C384" s="9">
        <v>45.1</v>
      </c>
      <c r="D384" s="14">
        <v>30.4</v>
      </c>
      <c r="E384" s="14">
        <v>50.2</v>
      </c>
      <c r="F384" s="14">
        <v>63.0</v>
      </c>
      <c r="G384" s="14">
        <v>89.74501719096526</v>
      </c>
      <c r="H384" s="14">
        <v>68.64625057932905</v>
      </c>
      <c r="I384" s="14">
        <v>35.3578541963008</v>
      </c>
      <c r="J384" s="9">
        <v>58.25930138446526</v>
      </c>
      <c r="K384" s="14">
        <v>82.99293067361509</v>
      </c>
      <c r="L384" s="14">
        <v>97.79011905034012</v>
      </c>
      <c r="M384" s="14">
        <v>91.21693702983868</v>
      </c>
    </row>
    <row r="385" ht="14.25" customHeight="1">
      <c r="A385" s="15">
        <v>579.0</v>
      </c>
      <c r="B385" s="13" t="s">
        <v>58</v>
      </c>
      <c r="C385" s="9">
        <v>49.0</v>
      </c>
      <c r="D385" s="14">
        <v>31.1</v>
      </c>
      <c r="E385" s="14">
        <v>53.7</v>
      </c>
      <c r="F385" s="14">
        <v>71.6</v>
      </c>
      <c r="G385" s="14">
        <v>99.5</v>
      </c>
      <c r="H385" s="14">
        <v>75.5</v>
      </c>
      <c r="I385" s="14">
        <v>37.8</v>
      </c>
      <c r="J385" s="9">
        <v>65.0</v>
      </c>
      <c r="K385" s="14">
        <v>92.0</v>
      </c>
      <c r="L385" s="14">
        <v>109.2</v>
      </c>
      <c r="M385" s="14">
        <v>102.5</v>
      </c>
    </row>
    <row r="386" ht="14.25" customHeight="1">
      <c r="A386" s="15">
        <v>580.0</v>
      </c>
      <c r="B386" s="13" t="s">
        <v>58</v>
      </c>
      <c r="C386" s="9">
        <v>49.3</v>
      </c>
      <c r="D386" s="14">
        <v>32.7</v>
      </c>
      <c r="E386" s="14">
        <v>55.3</v>
      </c>
      <c r="F386" s="14">
        <v>72.0</v>
      </c>
      <c r="G386" s="14">
        <v>99.4</v>
      </c>
      <c r="H386" s="14">
        <v>75.4</v>
      </c>
      <c r="I386" s="14">
        <v>37.3</v>
      </c>
      <c r="J386" s="9">
        <v>65.3</v>
      </c>
      <c r="K386" s="14">
        <v>93.8</v>
      </c>
      <c r="L386" s="14">
        <v>109.2</v>
      </c>
      <c r="M386" s="14">
        <v>102.2</v>
      </c>
    </row>
    <row r="387" ht="14.25" customHeight="1">
      <c r="A387" s="15">
        <v>581.0</v>
      </c>
      <c r="B387" s="13" t="s">
        <v>58</v>
      </c>
      <c r="C387" s="9">
        <v>45.2</v>
      </c>
      <c r="D387" s="14">
        <v>32.0</v>
      </c>
      <c r="E387" s="14">
        <v>52.8</v>
      </c>
      <c r="F387" s="14">
        <v>65.6</v>
      </c>
      <c r="G387" s="14">
        <v>92.5</v>
      </c>
      <c r="H387" s="14">
        <v>69.2</v>
      </c>
      <c r="I387" s="14">
        <v>35.0</v>
      </c>
      <c r="J387" s="9">
        <v>57.7</v>
      </c>
      <c r="K387" s="14">
        <v>88.0</v>
      </c>
      <c r="L387" s="14">
        <v>102.9</v>
      </c>
      <c r="M387" s="14">
        <v>96.8</v>
      </c>
    </row>
    <row r="388" ht="14.25" customHeight="1">
      <c r="A388" s="15">
        <v>582.0</v>
      </c>
      <c r="B388" s="13" t="s">
        <v>58</v>
      </c>
      <c r="C388" s="9">
        <v>51.7</v>
      </c>
      <c r="D388" s="14">
        <v>32.7</v>
      </c>
      <c r="E388" s="14">
        <v>55.2</v>
      </c>
      <c r="F388" s="14">
        <v>71.0</v>
      </c>
      <c r="G388" s="14">
        <v>97.7</v>
      </c>
      <c r="H388" s="14">
        <v>72.7</v>
      </c>
      <c r="I388" s="14">
        <v>37.1</v>
      </c>
      <c r="J388" s="9">
        <v>58.0</v>
      </c>
      <c r="K388" s="14">
        <v>91.0</v>
      </c>
      <c r="L388" s="14">
        <v>104.6</v>
      </c>
      <c r="M388" s="14">
        <v>96.9</v>
      </c>
    </row>
    <row r="389" ht="14.25" customHeight="1">
      <c r="A389" s="15">
        <v>542.0</v>
      </c>
      <c r="B389" s="13" t="s">
        <v>59</v>
      </c>
      <c r="C389" s="9">
        <v>37.3</v>
      </c>
      <c r="D389" s="14">
        <v>25.8</v>
      </c>
      <c r="E389" s="14">
        <v>48.1</v>
      </c>
      <c r="F389" s="14">
        <v>49.9</v>
      </c>
      <c r="G389" s="14">
        <v>75.7</v>
      </c>
      <c r="H389" s="14">
        <v>58.5</v>
      </c>
      <c r="I389" s="14">
        <v>33.2</v>
      </c>
      <c r="J389" s="9">
        <v>57.8</v>
      </c>
      <c r="K389" s="14">
        <v>80.9</v>
      </c>
      <c r="L389" s="14">
        <v>97.3</v>
      </c>
      <c r="M389" s="14">
        <v>91.2</v>
      </c>
    </row>
    <row r="390" ht="14.25" customHeight="1">
      <c r="A390" s="15">
        <v>543.0</v>
      </c>
      <c r="B390" s="13" t="s">
        <v>59</v>
      </c>
      <c r="C390" s="9">
        <v>38.4</v>
      </c>
      <c r="D390" s="14">
        <v>27.7</v>
      </c>
      <c r="E390" s="14">
        <v>49.6</v>
      </c>
      <c r="F390" s="14">
        <v>53.0</v>
      </c>
      <c r="G390" s="14">
        <v>79.9</v>
      </c>
      <c r="H390" s="14">
        <v>59.6</v>
      </c>
      <c r="I390" s="14">
        <v>35.2</v>
      </c>
      <c r="J390" s="9">
        <v>58.2</v>
      </c>
      <c r="K390" s="14">
        <v>85.1</v>
      </c>
      <c r="L390" s="14">
        <v>103.6</v>
      </c>
      <c r="M390" s="14">
        <v>98.2</v>
      </c>
    </row>
    <row r="391" ht="14.25" customHeight="1">
      <c r="A391" s="15">
        <v>544.0</v>
      </c>
      <c r="B391" s="13" t="s">
        <v>59</v>
      </c>
      <c r="C391" s="9">
        <v>39.8</v>
      </c>
      <c r="D391" s="14">
        <v>26.9</v>
      </c>
      <c r="E391" s="14">
        <v>45.8</v>
      </c>
      <c r="F391" s="14">
        <v>52.4</v>
      </c>
      <c r="G391" s="14">
        <v>75.5</v>
      </c>
      <c r="H391" s="14">
        <v>59.1</v>
      </c>
      <c r="I391" s="14">
        <v>32.5</v>
      </c>
      <c r="J391" s="9">
        <v>56.2</v>
      </c>
      <c r="K391" s="14">
        <v>81.7</v>
      </c>
      <c r="L391" s="14">
        <v>97.5</v>
      </c>
      <c r="M391" s="14">
        <v>91.8</v>
      </c>
    </row>
    <row r="392" ht="14.25" customHeight="1">
      <c r="A392" s="15">
        <v>545.0</v>
      </c>
      <c r="B392" s="13" t="s">
        <v>59</v>
      </c>
      <c r="C392" s="9">
        <v>34.9</v>
      </c>
      <c r="D392" s="14">
        <v>27.4</v>
      </c>
      <c r="E392" s="14">
        <v>43.5</v>
      </c>
      <c r="F392" s="14">
        <v>50.4</v>
      </c>
      <c r="G392" s="14">
        <v>75.2</v>
      </c>
      <c r="H392" s="14">
        <v>57.9</v>
      </c>
      <c r="I392" s="14">
        <v>32.6</v>
      </c>
      <c r="J392" s="9">
        <v>54.8</v>
      </c>
      <c r="K392" s="14">
        <v>80.7</v>
      </c>
      <c r="L392" s="14">
        <v>96.7</v>
      </c>
      <c r="M392" s="14">
        <v>91.8</v>
      </c>
    </row>
    <row r="393" ht="14.25" customHeight="1">
      <c r="A393" s="15">
        <v>546.0</v>
      </c>
      <c r="B393" s="13" t="s">
        <v>59</v>
      </c>
      <c r="C393" s="9">
        <v>39.04958562109457</v>
      </c>
      <c r="D393" s="14">
        <v>27.796135968693264</v>
      </c>
      <c r="E393" s="14">
        <v>44.60497324882188</v>
      </c>
      <c r="F393" s="14">
        <v>52.3</v>
      </c>
      <c r="G393" s="14">
        <v>76.9</v>
      </c>
      <c r="H393" s="14">
        <v>58.5</v>
      </c>
      <c r="I393" s="14">
        <v>31.2</v>
      </c>
      <c r="J393" s="9">
        <v>57.272562226076325</v>
      </c>
      <c r="K393" s="14">
        <v>81.0</v>
      </c>
      <c r="L393" s="14">
        <v>100.3</v>
      </c>
      <c r="M393" s="14">
        <v>95.3</v>
      </c>
    </row>
    <row r="394" ht="14.25" customHeight="1">
      <c r="A394" s="15">
        <v>547.0</v>
      </c>
      <c r="B394" s="13" t="s">
        <v>59</v>
      </c>
      <c r="C394" s="9">
        <v>36.8</v>
      </c>
      <c r="D394" s="14">
        <v>27.1</v>
      </c>
      <c r="E394" s="14">
        <v>43.8</v>
      </c>
      <c r="F394" s="14">
        <v>50.7</v>
      </c>
      <c r="G394" s="14">
        <v>74.6</v>
      </c>
      <c r="H394" s="14">
        <v>55.6</v>
      </c>
      <c r="I394" s="14">
        <v>33.9</v>
      </c>
      <c r="J394" s="9">
        <v>55.7</v>
      </c>
      <c r="K394" s="14">
        <v>80.6</v>
      </c>
      <c r="L394" s="14">
        <v>97.6</v>
      </c>
      <c r="M394" s="14">
        <v>92.5</v>
      </c>
    </row>
    <row r="395" ht="14.25" customHeight="1">
      <c r="A395" s="15">
        <v>548.0</v>
      </c>
      <c r="B395" s="13" t="s">
        <v>59</v>
      </c>
      <c r="C395" s="9">
        <v>35.9</v>
      </c>
      <c r="D395" s="14">
        <v>28.1</v>
      </c>
      <c r="E395" s="14">
        <v>45.2</v>
      </c>
      <c r="F395" s="14">
        <v>53.0</v>
      </c>
      <c r="G395" s="14">
        <v>78.9</v>
      </c>
      <c r="H395" s="14">
        <v>57.7</v>
      </c>
      <c r="I395" s="14">
        <v>32.9</v>
      </c>
      <c r="J395" s="9">
        <v>55.8</v>
      </c>
      <c r="K395" s="14">
        <v>84.9</v>
      </c>
      <c r="L395" s="14">
        <v>104.5</v>
      </c>
      <c r="M395" s="14">
        <v>98.2</v>
      </c>
    </row>
    <row r="396" ht="14.25" customHeight="1">
      <c r="A396" s="15">
        <v>549.0</v>
      </c>
      <c r="B396" s="13" t="s">
        <v>59</v>
      </c>
      <c r="C396" s="9">
        <v>37.1</v>
      </c>
      <c r="D396" s="14">
        <v>27.537912526721886</v>
      </c>
      <c r="E396" s="14">
        <v>45.3</v>
      </c>
      <c r="F396" s="14">
        <v>54.4</v>
      </c>
      <c r="G396" s="14">
        <v>82.1</v>
      </c>
      <c r="H396" s="14">
        <v>63.0</v>
      </c>
      <c r="I396" s="14">
        <v>34.042122749580734</v>
      </c>
      <c r="J396" s="9">
        <v>59.7</v>
      </c>
      <c r="K396" s="14">
        <v>85.2</v>
      </c>
      <c r="L396" s="14">
        <v>104.6</v>
      </c>
      <c r="M396" s="14">
        <v>99.2</v>
      </c>
    </row>
    <row r="397" ht="14.25" customHeight="1">
      <c r="A397" s="15">
        <v>550.0</v>
      </c>
      <c r="B397" s="13" t="s">
        <v>59</v>
      </c>
      <c r="C397" s="9">
        <v>40.1</v>
      </c>
      <c r="D397" s="14">
        <v>26.2</v>
      </c>
      <c r="E397" s="14">
        <v>43.1</v>
      </c>
      <c r="F397" s="14">
        <v>51.1</v>
      </c>
      <c r="G397" s="14">
        <v>74.48328541542386</v>
      </c>
      <c r="H397" s="14">
        <v>56.5</v>
      </c>
      <c r="I397" s="14">
        <v>33.0</v>
      </c>
      <c r="J397" s="9">
        <v>54.7</v>
      </c>
      <c r="K397" s="14">
        <v>79.1</v>
      </c>
      <c r="L397" s="14">
        <v>96.0</v>
      </c>
      <c r="M397" s="14">
        <v>90.5</v>
      </c>
    </row>
    <row r="398" ht="14.25" customHeight="1">
      <c r="A398" s="15">
        <v>551.0</v>
      </c>
      <c r="B398" s="13" t="s">
        <v>59</v>
      </c>
      <c r="C398" s="9">
        <v>41.5</v>
      </c>
      <c r="D398" s="14">
        <v>27.3</v>
      </c>
      <c r="E398" s="14">
        <v>45.3</v>
      </c>
      <c r="F398" s="14">
        <v>53.7</v>
      </c>
      <c r="G398" s="14">
        <v>79.4</v>
      </c>
      <c r="H398" s="14">
        <v>59.5</v>
      </c>
      <c r="I398" s="14">
        <v>33.0</v>
      </c>
      <c r="J398" s="9">
        <v>56.780776989343615</v>
      </c>
      <c r="K398" s="14">
        <v>83.6</v>
      </c>
      <c r="L398" s="14">
        <v>102.0</v>
      </c>
      <c r="M398" s="14">
        <v>97.0</v>
      </c>
    </row>
    <row r="399" ht="14.25" customHeight="1">
      <c r="A399" s="15">
        <v>552.0</v>
      </c>
      <c r="B399" s="13" t="s">
        <v>59</v>
      </c>
      <c r="C399" s="9">
        <v>36.9</v>
      </c>
      <c r="D399" s="14">
        <v>26.8</v>
      </c>
      <c r="E399" s="14">
        <v>44.7</v>
      </c>
      <c r="F399" s="14">
        <v>49.9</v>
      </c>
      <c r="G399" s="14">
        <v>74.8</v>
      </c>
      <c r="H399" s="14">
        <v>58.6</v>
      </c>
      <c r="I399" s="14">
        <v>31.5</v>
      </c>
      <c r="J399" s="9">
        <v>54.8</v>
      </c>
      <c r="K399" s="14">
        <v>79.15717719589618</v>
      </c>
      <c r="L399" s="14">
        <v>94.4</v>
      </c>
      <c r="M399" s="14">
        <v>89.1</v>
      </c>
    </row>
    <row r="400" ht="14.25" customHeight="1">
      <c r="A400" s="15">
        <v>553.0</v>
      </c>
      <c r="B400" s="13" t="s">
        <v>59</v>
      </c>
      <c r="C400" s="9">
        <v>40.3</v>
      </c>
      <c r="D400" s="14">
        <v>26.05817030321986</v>
      </c>
      <c r="E400" s="14">
        <v>43.3</v>
      </c>
      <c r="F400" s="14">
        <v>52.8</v>
      </c>
      <c r="G400" s="14">
        <v>76.2</v>
      </c>
      <c r="H400" s="14">
        <v>60.4</v>
      </c>
      <c r="I400" s="14">
        <v>33.2</v>
      </c>
      <c r="J400" s="9">
        <v>57.4047576079032</v>
      </c>
      <c r="K400" s="14">
        <v>80.6</v>
      </c>
      <c r="L400" s="14">
        <v>98.1</v>
      </c>
      <c r="M400" s="14">
        <v>92.3</v>
      </c>
    </row>
    <row r="401" ht="14.25" customHeight="1">
      <c r="A401" s="15">
        <v>554.0</v>
      </c>
      <c r="B401" s="13" t="s">
        <v>59</v>
      </c>
      <c r="C401" s="9">
        <v>40.7</v>
      </c>
      <c r="D401" s="14">
        <v>26.1</v>
      </c>
      <c r="E401" s="14">
        <v>44.6</v>
      </c>
      <c r="F401" s="14">
        <v>52.0</v>
      </c>
      <c r="G401" s="14">
        <v>76.5</v>
      </c>
      <c r="H401" s="14">
        <v>58.2</v>
      </c>
      <c r="I401" s="14">
        <v>32.1</v>
      </c>
      <c r="J401" s="9">
        <v>57.1</v>
      </c>
      <c r="K401" s="14">
        <v>77.8</v>
      </c>
      <c r="L401" s="14">
        <v>95.5</v>
      </c>
      <c r="M401" s="14">
        <v>89.7</v>
      </c>
    </row>
    <row r="402" ht="14.25" customHeight="1">
      <c r="A402" s="15">
        <v>556.0</v>
      </c>
      <c r="B402" s="13" t="s">
        <v>59</v>
      </c>
      <c r="C402" s="9">
        <v>36.437530958093745</v>
      </c>
      <c r="D402" s="14">
        <v>27.484471828455877</v>
      </c>
      <c r="E402" s="14">
        <v>46.604236948152554</v>
      </c>
      <c r="F402" s="14">
        <v>51.0</v>
      </c>
      <c r="G402" s="14">
        <v>77.1</v>
      </c>
      <c r="H402" s="14">
        <v>58.6</v>
      </c>
      <c r="I402" s="14">
        <v>33.164378708069144</v>
      </c>
      <c r="J402" s="9">
        <v>56.51728500287688</v>
      </c>
      <c r="K402" s="14">
        <v>83.6</v>
      </c>
      <c r="L402" s="14">
        <v>100.7</v>
      </c>
      <c r="M402" s="14">
        <v>95.6</v>
      </c>
    </row>
    <row r="403" ht="14.25" customHeight="1">
      <c r="A403" s="15">
        <v>557.0</v>
      </c>
      <c r="B403" s="13" t="s">
        <v>59</v>
      </c>
      <c r="C403" s="9">
        <v>37.2</v>
      </c>
      <c r="D403" s="14">
        <v>28.5</v>
      </c>
      <c r="E403" s="14">
        <v>46.7</v>
      </c>
      <c r="F403" s="14">
        <v>51.2</v>
      </c>
      <c r="G403" s="14">
        <v>77.0</v>
      </c>
      <c r="H403" s="14">
        <v>58.9</v>
      </c>
      <c r="I403" s="14">
        <v>32.632043797096735</v>
      </c>
      <c r="J403" s="9">
        <v>55.19598520332597</v>
      </c>
      <c r="K403" s="14">
        <v>82.0</v>
      </c>
      <c r="L403" s="14">
        <v>97.0</v>
      </c>
      <c r="M403" s="14">
        <v>91.6</v>
      </c>
    </row>
    <row r="404" ht="14.25" customHeight="1">
      <c r="A404" s="15">
        <v>558.0</v>
      </c>
      <c r="B404" s="13" t="s">
        <v>59</v>
      </c>
      <c r="C404" s="9">
        <v>35.4</v>
      </c>
      <c r="D404" s="14">
        <v>29.5</v>
      </c>
      <c r="E404" s="14">
        <v>48.1</v>
      </c>
      <c r="F404" s="14">
        <v>54.2</v>
      </c>
      <c r="G404" s="14">
        <v>81.6</v>
      </c>
      <c r="H404" s="14">
        <v>62.0</v>
      </c>
      <c r="I404" s="14">
        <v>33.4</v>
      </c>
      <c r="J404" s="9">
        <v>59.5</v>
      </c>
      <c r="K404" s="14">
        <v>86.4</v>
      </c>
      <c r="L404" s="14">
        <v>106.9</v>
      </c>
      <c r="M404" s="14">
        <v>101.5</v>
      </c>
    </row>
    <row r="405" ht="14.25" customHeight="1">
      <c r="A405" s="15">
        <v>559.0</v>
      </c>
      <c r="B405" s="13" t="s">
        <v>59</v>
      </c>
      <c r="C405" s="9">
        <v>40.1</v>
      </c>
      <c r="D405" s="14">
        <v>27.4</v>
      </c>
      <c r="E405" s="14">
        <v>46.4</v>
      </c>
      <c r="F405" s="14">
        <v>54.9</v>
      </c>
      <c r="G405" s="14">
        <v>78.6</v>
      </c>
      <c r="H405" s="14">
        <v>59.9</v>
      </c>
      <c r="I405" s="14">
        <v>33.3</v>
      </c>
      <c r="J405" s="9">
        <v>57.57917561465776</v>
      </c>
      <c r="K405" s="14">
        <v>85.4</v>
      </c>
      <c r="L405" s="14">
        <v>101.7</v>
      </c>
      <c r="M405" s="14">
        <v>96.5</v>
      </c>
    </row>
    <row r="406" ht="14.25" customHeight="1">
      <c r="A406" s="15">
        <v>560.0</v>
      </c>
      <c r="B406" s="13" t="s">
        <v>59</v>
      </c>
      <c r="C406" s="9">
        <v>36.8</v>
      </c>
      <c r="D406" s="14">
        <v>27.3</v>
      </c>
      <c r="E406" s="14">
        <v>45.7</v>
      </c>
      <c r="F406" s="14">
        <v>53.4</v>
      </c>
      <c r="G406" s="14">
        <v>74.7</v>
      </c>
      <c r="H406" s="14">
        <v>58.3</v>
      </c>
      <c r="I406" s="14">
        <v>33.1</v>
      </c>
      <c r="J406" s="9">
        <v>57.0</v>
      </c>
      <c r="K406" s="14">
        <v>80.1</v>
      </c>
      <c r="L406" s="14">
        <v>94.5</v>
      </c>
      <c r="M406" s="14">
        <v>88.2</v>
      </c>
    </row>
    <row r="407" ht="14.25" customHeight="1">
      <c r="A407" s="15">
        <v>561.0</v>
      </c>
      <c r="B407" s="13" t="s">
        <v>59</v>
      </c>
      <c r="C407" s="9">
        <v>36.4</v>
      </c>
      <c r="D407" s="14">
        <v>28.7</v>
      </c>
      <c r="E407" s="14">
        <v>46.6</v>
      </c>
      <c r="F407" s="14">
        <v>51.1</v>
      </c>
      <c r="G407" s="14">
        <v>76.30378337173727</v>
      </c>
      <c r="H407" s="14">
        <v>58.10895397521451</v>
      </c>
      <c r="I407" s="14">
        <v>32.667891805626056</v>
      </c>
      <c r="J407" s="9">
        <v>56.64602765310737</v>
      </c>
      <c r="K407" s="14">
        <v>81.70087609302108</v>
      </c>
      <c r="L407" s="14">
        <v>98.71553004985019</v>
      </c>
      <c r="M407" s="14">
        <v>93.35974829218102</v>
      </c>
    </row>
    <row r="408" ht="14.25" customHeight="1">
      <c r="A408" s="15">
        <v>562.0</v>
      </c>
      <c r="B408" s="13" t="s">
        <v>59</v>
      </c>
      <c r="C408" s="9">
        <v>35.6</v>
      </c>
      <c r="D408" s="14">
        <v>26.6</v>
      </c>
      <c r="E408" s="14">
        <v>46.5</v>
      </c>
      <c r="F408" s="14">
        <v>51.2</v>
      </c>
      <c r="G408" s="14">
        <v>76.55355382433125</v>
      </c>
      <c r="H408" s="14">
        <v>58.8432293862511</v>
      </c>
      <c r="I408" s="14">
        <v>33.30026255928159</v>
      </c>
      <c r="J408" s="9">
        <v>57.60814595681667</v>
      </c>
      <c r="K408" s="14">
        <v>82.0371216356761</v>
      </c>
      <c r="L408" s="14">
        <v>98.80069473333774</v>
      </c>
      <c r="M408" s="14">
        <v>93.29981895956283</v>
      </c>
    </row>
    <row r="409" ht="14.25" customHeight="1">
      <c r="A409" s="15">
        <v>563.0</v>
      </c>
      <c r="B409" s="13" t="s">
        <v>59</v>
      </c>
      <c r="C409" s="9">
        <v>35.1</v>
      </c>
      <c r="D409" s="14">
        <v>26.5</v>
      </c>
      <c r="E409" s="14">
        <v>44.0</v>
      </c>
      <c r="F409" s="14">
        <v>50.1</v>
      </c>
      <c r="G409" s="14">
        <v>73.6</v>
      </c>
      <c r="H409" s="14">
        <v>58.3</v>
      </c>
      <c r="I409" s="14">
        <v>32.5</v>
      </c>
      <c r="J409" s="9">
        <v>57.2343880930986</v>
      </c>
      <c r="K409" s="14">
        <v>78.5</v>
      </c>
      <c r="L409" s="14">
        <v>95.4</v>
      </c>
      <c r="M409" s="14">
        <v>89.6</v>
      </c>
    </row>
    <row r="410" ht="14.25" customHeight="1">
      <c r="A410" s="15">
        <v>565.0</v>
      </c>
      <c r="B410" s="13" t="s">
        <v>59</v>
      </c>
      <c r="C410" s="9">
        <v>36.2</v>
      </c>
      <c r="D410" s="14">
        <v>25.9</v>
      </c>
      <c r="E410" s="14">
        <v>42.3</v>
      </c>
      <c r="F410" s="14">
        <v>51.9</v>
      </c>
      <c r="G410" s="14">
        <v>75.4</v>
      </c>
      <c r="H410" s="14">
        <v>59.7</v>
      </c>
      <c r="I410" s="14">
        <v>34.6</v>
      </c>
      <c r="J410" s="9">
        <v>59.2</v>
      </c>
      <c r="K410" s="14">
        <v>81.2</v>
      </c>
      <c r="L410" s="14">
        <v>97.6</v>
      </c>
      <c r="M410" s="14">
        <v>92.5</v>
      </c>
    </row>
    <row r="411" ht="14.25" customHeight="1">
      <c r="A411" s="15">
        <v>566.0</v>
      </c>
      <c r="B411" s="13" t="s">
        <v>59</v>
      </c>
      <c r="C411" s="9">
        <v>39.2</v>
      </c>
      <c r="D411" s="14">
        <v>27.9</v>
      </c>
      <c r="E411" s="14">
        <v>45.06502805167674</v>
      </c>
      <c r="F411" s="14">
        <v>52.9</v>
      </c>
      <c r="G411" s="14">
        <v>75.6</v>
      </c>
      <c r="H411" s="14">
        <v>59.2</v>
      </c>
      <c r="I411" s="14">
        <v>32.952267180759925</v>
      </c>
      <c r="J411" s="9">
        <v>58.029494049081386</v>
      </c>
      <c r="K411" s="14">
        <v>82.5</v>
      </c>
      <c r="L411" s="14">
        <v>100.4</v>
      </c>
      <c r="M411" s="14">
        <v>95.0</v>
      </c>
    </row>
    <row r="412" ht="14.25" customHeight="1">
      <c r="A412" s="15">
        <v>567.0</v>
      </c>
      <c r="B412" s="13" t="s">
        <v>59</v>
      </c>
      <c r="C412" s="9">
        <v>38.4</v>
      </c>
      <c r="D412" s="14">
        <v>23.7</v>
      </c>
      <c r="E412" s="14">
        <v>42.5</v>
      </c>
      <c r="F412" s="14">
        <v>50.6</v>
      </c>
      <c r="G412" s="14">
        <v>75.2</v>
      </c>
      <c r="H412" s="14">
        <v>58.1</v>
      </c>
      <c r="I412" s="14">
        <v>32.3</v>
      </c>
      <c r="J412" s="9">
        <v>55.7</v>
      </c>
      <c r="K412" s="14">
        <v>79.8</v>
      </c>
      <c r="L412" s="14">
        <v>95.2</v>
      </c>
      <c r="M412" s="14">
        <v>91.3</v>
      </c>
    </row>
    <row r="413" ht="14.25" customHeight="1">
      <c r="A413" s="15">
        <v>568.0</v>
      </c>
      <c r="B413" s="13" t="s">
        <v>59</v>
      </c>
      <c r="C413" s="9">
        <v>40.4</v>
      </c>
      <c r="D413" s="14">
        <v>28.2</v>
      </c>
      <c r="E413" s="14">
        <v>46.2</v>
      </c>
      <c r="F413" s="14">
        <v>54.8</v>
      </c>
      <c r="G413" s="14">
        <v>81.9</v>
      </c>
      <c r="H413" s="14">
        <v>61.6</v>
      </c>
      <c r="I413" s="14">
        <v>33.8</v>
      </c>
      <c r="J413" s="9">
        <v>54.9</v>
      </c>
      <c r="K413" s="14">
        <v>86.8</v>
      </c>
      <c r="L413" s="14">
        <v>104.2</v>
      </c>
      <c r="M413" s="14">
        <v>97.8</v>
      </c>
    </row>
    <row r="414" ht="14.25" customHeight="1">
      <c r="A414" s="15">
        <v>569.0</v>
      </c>
      <c r="B414" s="13" t="s">
        <v>59</v>
      </c>
      <c r="C414" s="9">
        <v>40.7</v>
      </c>
      <c r="D414" s="14">
        <v>28.4</v>
      </c>
      <c r="E414" s="14">
        <v>51.74882103386039</v>
      </c>
      <c r="F414" s="14">
        <v>52.9</v>
      </c>
      <c r="G414" s="14">
        <v>79.9</v>
      </c>
      <c r="H414" s="14">
        <v>59.6</v>
      </c>
      <c r="I414" s="14">
        <v>32.1</v>
      </c>
      <c r="J414" s="9">
        <v>58.4</v>
      </c>
      <c r="K414" s="14">
        <v>85.9</v>
      </c>
      <c r="L414" s="14">
        <v>103.4</v>
      </c>
      <c r="M414" s="14">
        <v>97.3</v>
      </c>
    </row>
    <row r="415" ht="14.25" customHeight="1">
      <c r="A415" s="15">
        <v>571.0</v>
      </c>
      <c r="B415" s="13" t="s">
        <v>59</v>
      </c>
      <c r="C415" s="9">
        <v>39.0</v>
      </c>
      <c r="D415" s="14">
        <v>30.4</v>
      </c>
      <c r="E415" s="14">
        <v>48.0</v>
      </c>
      <c r="F415" s="14">
        <v>53.1</v>
      </c>
      <c r="G415" s="14">
        <v>76.7</v>
      </c>
      <c r="H415" s="14">
        <v>57.6</v>
      </c>
      <c r="I415" s="14">
        <v>33.0</v>
      </c>
      <c r="J415" s="9">
        <v>59.7</v>
      </c>
      <c r="K415" s="14">
        <v>81.3</v>
      </c>
      <c r="L415" s="14">
        <v>97.8</v>
      </c>
      <c r="M415" s="14">
        <v>93.5</v>
      </c>
    </row>
    <row r="416" ht="14.25" customHeight="1">
      <c r="A416" s="15">
        <v>572.0</v>
      </c>
      <c r="B416" s="13" t="s">
        <v>59</v>
      </c>
      <c r="C416" s="9">
        <v>41.3</v>
      </c>
      <c r="D416" s="14">
        <v>28.7</v>
      </c>
      <c r="E416" s="14">
        <v>46.8</v>
      </c>
      <c r="F416" s="14">
        <v>53.2</v>
      </c>
      <c r="G416" s="14">
        <v>80.5</v>
      </c>
      <c r="H416" s="14">
        <v>61.7</v>
      </c>
      <c r="I416" s="14">
        <v>32.8</v>
      </c>
      <c r="J416" s="9">
        <v>55.0</v>
      </c>
      <c r="K416" s="14">
        <v>85.2</v>
      </c>
      <c r="L416" s="14">
        <v>103.6</v>
      </c>
      <c r="M416" s="14">
        <v>97.6</v>
      </c>
    </row>
    <row r="417" ht="14.25" customHeight="1">
      <c r="A417" s="15">
        <v>168.0</v>
      </c>
      <c r="B417" s="13" t="s">
        <v>60</v>
      </c>
      <c r="C417" s="9">
        <v>78.1571198602452</v>
      </c>
      <c r="D417" s="14">
        <v>44.244349121841076</v>
      </c>
      <c r="E417" s="14">
        <v>82.4</v>
      </c>
      <c r="F417" s="14">
        <v>80.31423282582396</v>
      </c>
      <c r="G417" s="14">
        <v>127.34349810111203</v>
      </c>
      <c r="H417" s="14">
        <v>94.2215488347823</v>
      </c>
      <c r="I417" s="14">
        <v>63.94972596324445</v>
      </c>
      <c r="J417" s="9">
        <v>100.4460292459559</v>
      </c>
      <c r="K417" s="14">
        <v>162.57993340488622</v>
      </c>
      <c r="L417" s="14">
        <v>191.56266650871714</v>
      </c>
      <c r="M417" s="14">
        <v>186.2236520382734</v>
      </c>
    </row>
    <row r="418" ht="14.25" customHeight="1">
      <c r="A418" s="15">
        <v>169.0</v>
      </c>
      <c r="B418" s="13" t="s">
        <v>60</v>
      </c>
      <c r="C418" s="9">
        <v>77.1</v>
      </c>
      <c r="D418" s="14">
        <v>47.5</v>
      </c>
      <c r="E418" s="14">
        <v>92.1</v>
      </c>
      <c r="F418" s="14">
        <v>84.65258164663517</v>
      </c>
      <c r="G418" s="14">
        <v>133.04220297003783</v>
      </c>
      <c r="H418" s="14">
        <v>93.13314800532167</v>
      </c>
      <c r="I418" s="14">
        <v>67.10349311027805</v>
      </c>
      <c r="J418" s="9">
        <v>103.84472259414561</v>
      </c>
      <c r="K418" s="14">
        <v>169.5874985060993</v>
      </c>
      <c r="L418" s="14">
        <v>200.68648374216582</v>
      </c>
      <c r="M418" s="14">
        <v>192.7728946173742</v>
      </c>
    </row>
    <row r="419" ht="14.25" customHeight="1">
      <c r="A419" s="15">
        <v>170.0</v>
      </c>
      <c r="B419" s="13" t="s">
        <v>60</v>
      </c>
      <c r="C419" s="9">
        <v>85.0</v>
      </c>
      <c r="D419" s="14">
        <v>48.0</v>
      </c>
      <c r="E419" s="14">
        <v>93.2</v>
      </c>
      <c r="F419" s="14">
        <v>84.4</v>
      </c>
      <c r="G419" s="14">
        <v>133.1</v>
      </c>
      <c r="H419" s="14">
        <v>94.4</v>
      </c>
      <c r="I419" s="14">
        <v>64.8</v>
      </c>
      <c r="J419" s="9">
        <v>107.5</v>
      </c>
      <c r="K419" s="14">
        <v>170.8</v>
      </c>
      <c r="L419" s="14">
        <v>199.0</v>
      </c>
      <c r="M419" s="14">
        <v>192.9</v>
      </c>
    </row>
    <row r="420" ht="14.25" customHeight="1">
      <c r="A420" s="15">
        <v>171.0</v>
      </c>
      <c r="B420" s="13" t="s">
        <v>60</v>
      </c>
      <c r="C420" s="9">
        <v>81.2</v>
      </c>
      <c r="D420" s="14">
        <v>45.0</v>
      </c>
      <c r="E420" s="14">
        <v>89.2</v>
      </c>
      <c r="F420" s="14">
        <v>83.6</v>
      </c>
      <c r="G420" s="14">
        <v>131.1</v>
      </c>
      <c r="H420" s="14">
        <v>92.0</v>
      </c>
      <c r="I420" s="14">
        <v>67.0</v>
      </c>
      <c r="J420" s="9">
        <v>104.1</v>
      </c>
      <c r="K420" s="14">
        <v>162.0</v>
      </c>
      <c r="L420" s="14">
        <v>194.5</v>
      </c>
      <c r="M420" s="14">
        <v>188.9</v>
      </c>
    </row>
    <row r="421" ht="14.25" customHeight="1">
      <c r="A421" s="15">
        <v>172.0</v>
      </c>
      <c r="B421" s="13" t="s">
        <v>60</v>
      </c>
      <c r="C421" s="9">
        <v>75.31000303365664</v>
      </c>
      <c r="D421" s="14">
        <v>45.08911881182947</v>
      </c>
      <c r="E421" s="14">
        <v>89.45902146973032</v>
      </c>
      <c r="F421" s="14">
        <v>84.9</v>
      </c>
      <c r="G421" s="14">
        <v>131.1</v>
      </c>
      <c r="H421" s="14">
        <v>93.16611775111132</v>
      </c>
      <c r="I421" s="14">
        <v>66.40286706750695</v>
      </c>
      <c r="J421" s="9">
        <v>103.30583656386356</v>
      </c>
      <c r="K421" s="14">
        <v>171.0</v>
      </c>
      <c r="L421" s="14">
        <v>202.0</v>
      </c>
      <c r="M421" s="14">
        <v>192.75912782853013</v>
      </c>
    </row>
    <row r="422" ht="14.25" customHeight="1">
      <c r="A422" s="15">
        <v>173.0</v>
      </c>
      <c r="B422" s="13" t="s">
        <v>60</v>
      </c>
      <c r="C422" s="9">
        <v>77.06870121946194</v>
      </c>
      <c r="D422" s="14">
        <v>45.649950189106676</v>
      </c>
      <c r="E422" s="14">
        <v>88.473735594244</v>
      </c>
      <c r="F422" s="14">
        <v>81.97917218405708</v>
      </c>
      <c r="G422" s="14">
        <v>129.63841963890624</v>
      </c>
      <c r="H422" s="14">
        <v>92.14264837227668</v>
      </c>
      <c r="I422" s="14">
        <v>66.5</v>
      </c>
      <c r="J422" s="9">
        <v>100.1</v>
      </c>
      <c r="K422" s="14">
        <v>165.62706461387899</v>
      </c>
      <c r="L422" s="14">
        <v>195.54620530413743</v>
      </c>
      <c r="M422" s="14">
        <v>187.99105336301727</v>
      </c>
    </row>
    <row r="423" ht="14.25" customHeight="1">
      <c r="A423" s="15">
        <v>174.0</v>
      </c>
      <c r="B423" s="13" t="s">
        <v>60</v>
      </c>
      <c r="C423" s="9">
        <v>82.4</v>
      </c>
      <c r="D423" s="14">
        <v>45.9</v>
      </c>
      <c r="E423" s="14">
        <v>84.3</v>
      </c>
      <c r="F423" s="14">
        <v>82.9</v>
      </c>
      <c r="G423" s="14">
        <v>129.1</v>
      </c>
      <c r="H423" s="14">
        <v>93.28108111400121</v>
      </c>
      <c r="I423" s="14">
        <v>66.3</v>
      </c>
      <c r="J423" s="9">
        <v>100.4</v>
      </c>
      <c r="K423" s="14">
        <v>168.0</v>
      </c>
      <c r="L423" s="14">
        <v>194.8</v>
      </c>
      <c r="M423" s="14">
        <v>187.0</v>
      </c>
    </row>
    <row r="424" ht="14.25" customHeight="1">
      <c r="A424" s="15">
        <v>175.0</v>
      </c>
      <c r="B424" s="13" t="s">
        <v>60</v>
      </c>
      <c r="C424" s="9">
        <v>84.6</v>
      </c>
      <c r="D424" s="14">
        <v>46.4</v>
      </c>
      <c r="E424" s="14">
        <v>87.3</v>
      </c>
      <c r="F424" s="14">
        <v>82.2</v>
      </c>
      <c r="G424" s="14">
        <v>130.4</v>
      </c>
      <c r="H424" s="14">
        <v>95.1</v>
      </c>
      <c r="I424" s="14">
        <v>66.1</v>
      </c>
      <c r="J424" s="9">
        <v>103.4</v>
      </c>
      <c r="K424" s="14">
        <v>163.5</v>
      </c>
      <c r="L424" s="14">
        <v>183.0</v>
      </c>
      <c r="M424" s="14">
        <v>185.8</v>
      </c>
    </row>
    <row r="425" ht="14.25" customHeight="1">
      <c r="A425" s="15">
        <v>176.0</v>
      </c>
      <c r="B425" s="13" t="s">
        <v>60</v>
      </c>
      <c r="C425" s="9">
        <v>77.8</v>
      </c>
      <c r="D425" s="14">
        <v>43.7</v>
      </c>
      <c r="E425" s="14">
        <v>92.8</v>
      </c>
      <c r="F425" s="14">
        <v>85.6</v>
      </c>
      <c r="G425" s="14">
        <v>134.9</v>
      </c>
      <c r="H425" s="14">
        <v>95.4</v>
      </c>
      <c r="I425" s="14">
        <v>66.0</v>
      </c>
      <c r="J425" s="9">
        <v>101.8</v>
      </c>
      <c r="K425" s="14">
        <v>171.0</v>
      </c>
      <c r="L425" s="14">
        <v>205.5</v>
      </c>
      <c r="M425" s="14">
        <v>194.5</v>
      </c>
    </row>
    <row r="426" ht="14.25" customHeight="1">
      <c r="A426" s="15">
        <v>177.0</v>
      </c>
      <c r="B426" s="13" t="s">
        <v>60</v>
      </c>
      <c r="C426" s="9">
        <v>82.8</v>
      </c>
      <c r="D426" s="14">
        <v>44.7</v>
      </c>
      <c r="E426" s="14">
        <v>85.6</v>
      </c>
      <c r="F426" s="14">
        <v>83.9</v>
      </c>
      <c r="G426" s="14">
        <v>130.3</v>
      </c>
      <c r="H426" s="14">
        <v>95.74844183228701</v>
      </c>
      <c r="I426" s="14">
        <v>64.16465152744458</v>
      </c>
      <c r="J426" s="9">
        <v>101.96025780810888</v>
      </c>
      <c r="K426" s="14">
        <v>164.5</v>
      </c>
      <c r="L426" s="14">
        <v>195.0</v>
      </c>
      <c r="M426" s="14">
        <v>188.5</v>
      </c>
    </row>
    <row r="427" ht="14.25" customHeight="1">
      <c r="A427" s="15">
        <v>178.0</v>
      </c>
      <c r="B427" s="13" t="s">
        <v>60</v>
      </c>
      <c r="C427" s="9">
        <v>72.8</v>
      </c>
      <c r="D427" s="14">
        <v>41.7</v>
      </c>
      <c r="E427" s="14">
        <v>89.3</v>
      </c>
      <c r="F427" s="14">
        <v>73.5</v>
      </c>
      <c r="G427" s="14">
        <v>121.9</v>
      </c>
      <c r="H427" s="14">
        <v>86.3</v>
      </c>
      <c r="I427" s="14">
        <v>63.9</v>
      </c>
      <c r="J427" s="9">
        <v>97.7</v>
      </c>
      <c r="K427" s="14">
        <v>156.3</v>
      </c>
      <c r="L427" s="14">
        <v>187.9</v>
      </c>
      <c r="M427" s="14">
        <v>179.1</v>
      </c>
    </row>
    <row r="428" ht="14.25" customHeight="1">
      <c r="A428" s="15">
        <v>179.0</v>
      </c>
      <c r="B428" s="13" t="s">
        <v>60</v>
      </c>
      <c r="C428" s="9">
        <v>78.4</v>
      </c>
      <c r="D428" s="14">
        <v>51.2</v>
      </c>
      <c r="E428" s="14">
        <v>90.6</v>
      </c>
      <c r="F428" s="14">
        <v>82.0</v>
      </c>
      <c r="G428" s="14">
        <v>131.0</v>
      </c>
      <c r="H428" s="14">
        <v>92.2</v>
      </c>
      <c r="I428" s="14">
        <v>67.2</v>
      </c>
      <c r="J428" s="9">
        <v>99.4</v>
      </c>
      <c r="K428" s="14">
        <v>165.7</v>
      </c>
      <c r="L428" s="14">
        <v>196.5</v>
      </c>
      <c r="M428" s="14">
        <v>189.9</v>
      </c>
    </row>
    <row r="429" ht="14.25" customHeight="1">
      <c r="A429" s="15">
        <v>180.0</v>
      </c>
      <c r="B429" s="13" t="s">
        <v>60</v>
      </c>
      <c r="C429" s="9">
        <v>77.7</v>
      </c>
      <c r="D429" s="14">
        <v>45.6</v>
      </c>
      <c r="E429" s="14">
        <v>89.4</v>
      </c>
      <c r="F429" s="14">
        <v>85.3</v>
      </c>
      <c r="G429" s="14">
        <v>134.9</v>
      </c>
      <c r="H429" s="14">
        <v>96.0</v>
      </c>
      <c r="I429" s="14">
        <v>66.9</v>
      </c>
      <c r="J429" s="9">
        <v>103.4</v>
      </c>
      <c r="K429" s="14">
        <v>173.3</v>
      </c>
      <c r="L429" s="14">
        <v>199.6</v>
      </c>
      <c r="M429" s="14">
        <v>191.7</v>
      </c>
    </row>
    <row r="430" ht="14.25" customHeight="1">
      <c r="A430" s="15">
        <v>181.0</v>
      </c>
      <c r="B430" s="13" t="s">
        <v>60</v>
      </c>
      <c r="C430" s="9">
        <v>84.6</v>
      </c>
      <c r="D430" s="14">
        <v>45.1</v>
      </c>
      <c r="E430" s="14">
        <v>80.1</v>
      </c>
      <c r="F430" s="14">
        <v>79.1</v>
      </c>
      <c r="G430" s="14">
        <v>129.4</v>
      </c>
      <c r="H430" s="14">
        <v>99.9</v>
      </c>
      <c r="I430" s="14">
        <v>58.9</v>
      </c>
      <c r="J430" s="9">
        <v>95.8</v>
      </c>
      <c r="K430" s="14">
        <v>161.6</v>
      </c>
      <c r="L430" s="14">
        <v>191.4</v>
      </c>
      <c r="M430" s="14">
        <v>186.4</v>
      </c>
    </row>
    <row r="431" ht="14.25" customHeight="1">
      <c r="A431" s="15">
        <v>182.0</v>
      </c>
      <c r="B431" s="13" t="s">
        <v>60</v>
      </c>
      <c r="C431" s="9">
        <v>75.5</v>
      </c>
      <c r="D431" s="14">
        <v>46.7</v>
      </c>
      <c r="E431" s="14">
        <v>86.7</v>
      </c>
      <c r="F431" s="14">
        <v>82.7</v>
      </c>
      <c r="G431" s="14">
        <v>128.3</v>
      </c>
      <c r="H431" s="14">
        <v>90.7</v>
      </c>
      <c r="I431" s="14">
        <v>65.6</v>
      </c>
      <c r="J431" s="9">
        <v>102.0</v>
      </c>
      <c r="K431" s="14">
        <v>165.4</v>
      </c>
      <c r="L431" s="14">
        <v>195.3</v>
      </c>
      <c r="M431" s="14">
        <v>187.9</v>
      </c>
    </row>
    <row r="432" ht="14.25" customHeight="1">
      <c r="A432" s="15">
        <v>183.0</v>
      </c>
      <c r="B432" s="13" t="s">
        <v>60</v>
      </c>
      <c r="C432" s="9">
        <v>79.3</v>
      </c>
      <c r="D432" s="14">
        <v>46.6</v>
      </c>
      <c r="E432" s="14">
        <v>89.5</v>
      </c>
      <c r="F432" s="14">
        <v>83.1</v>
      </c>
      <c r="G432" s="14">
        <v>131.3</v>
      </c>
      <c r="H432" s="14">
        <v>93.7</v>
      </c>
      <c r="I432" s="14">
        <v>66.0</v>
      </c>
      <c r="J432" s="9">
        <v>103.1</v>
      </c>
      <c r="K432" s="14">
        <v>169.4</v>
      </c>
      <c r="L432" s="14">
        <v>198.2</v>
      </c>
      <c r="M432" s="14">
        <v>189.7</v>
      </c>
    </row>
    <row r="433" ht="14.25" customHeight="1">
      <c r="A433" s="15">
        <v>184.0</v>
      </c>
      <c r="B433" s="13" t="s">
        <v>60</v>
      </c>
      <c r="C433" s="9">
        <v>77.7</v>
      </c>
      <c r="D433" s="14">
        <v>47.9</v>
      </c>
      <c r="E433" s="14">
        <v>90.1</v>
      </c>
      <c r="F433" s="14">
        <v>85.5</v>
      </c>
      <c r="G433" s="14">
        <v>132.4</v>
      </c>
      <c r="H433" s="14">
        <v>95.4</v>
      </c>
      <c r="I433" s="14">
        <v>64.0</v>
      </c>
      <c r="J433" s="9">
        <v>102.8</v>
      </c>
      <c r="K433" s="14">
        <v>170.3</v>
      </c>
      <c r="L433" s="14">
        <v>201.7</v>
      </c>
      <c r="M433" s="14">
        <v>196.2</v>
      </c>
    </row>
    <row r="434" ht="14.25" customHeight="1">
      <c r="A434" s="15">
        <v>185.0</v>
      </c>
      <c r="B434" s="13" t="s">
        <v>60</v>
      </c>
      <c r="C434" s="9">
        <v>77.5</v>
      </c>
      <c r="D434" s="14">
        <v>43.7</v>
      </c>
      <c r="E434" s="14">
        <v>92.2</v>
      </c>
      <c r="F434" s="14">
        <v>85.5</v>
      </c>
      <c r="G434" s="14">
        <v>134.7</v>
      </c>
      <c r="H434" s="14">
        <v>95.2</v>
      </c>
      <c r="I434" s="14">
        <v>66.4</v>
      </c>
      <c r="J434" s="9">
        <v>103.4</v>
      </c>
      <c r="K434" s="14">
        <v>170.2</v>
      </c>
      <c r="L434" s="14">
        <v>203.2</v>
      </c>
      <c r="M434" s="14">
        <v>196.1</v>
      </c>
    </row>
    <row r="435" ht="14.25" customHeight="1">
      <c r="A435" s="15">
        <v>186.0</v>
      </c>
      <c r="B435" s="13" t="s">
        <v>60</v>
      </c>
      <c r="C435" s="9">
        <v>75.3</v>
      </c>
      <c r="D435" s="14">
        <v>45.5</v>
      </c>
      <c r="E435" s="14">
        <v>91.1</v>
      </c>
      <c r="F435" s="14">
        <v>87.0</v>
      </c>
      <c r="G435" s="14">
        <v>139.2</v>
      </c>
      <c r="H435" s="14">
        <v>97.3</v>
      </c>
      <c r="I435" s="14">
        <v>68.4</v>
      </c>
      <c r="J435" s="9">
        <v>108.7</v>
      </c>
      <c r="K435" s="14">
        <v>173.3</v>
      </c>
      <c r="L435" s="14">
        <v>206.0</v>
      </c>
      <c r="M435" s="14">
        <v>199.2</v>
      </c>
    </row>
    <row r="436" ht="14.25" customHeight="1">
      <c r="A436" s="15">
        <v>187.0</v>
      </c>
      <c r="B436" s="13" t="s">
        <v>60</v>
      </c>
      <c r="C436" s="9">
        <v>70.6</v>
      </c>
      <c r="D436" s="14">
        <v>41.9</v>
      </c>
      <c r="E436" s="14">
        <v>78.7</v>
      </c>
      <c r="F436" s="14">
        <v>77.3</v>
      </c>
      <c r="G436" s="14">
        <v>123.1</v>
      </c>
      <c r="H436" s="14">
        <v>91.8</v>
      </c>
      <c r="I436" s="14">
        <v>64.6</v>
      </c>
      <c r="J436" s="9">
        <v>103.2</v>
      </c>
      <c r="K436" s="14">
        <v>158.3</v>
      </c>
      <c r="L436" s="14">
        <v>190.2</v>
      </c>
      <c r="M436" s="14">
        <v>185.0</v>
      </c>
    </row>
    <row r="437" ht="14.25" customHeight="1">
      <c r="A437" s="15">
        <v>188.0</v>
      </c>
      <c r="B437" s="13" t="s">
        <v>60</v>
      </c>
      <c r="C437" s="9">
        <v>73.6</v>
      </c>
      <c r="D437" s="14">
        <v>40.8</v>
      </c>
      <c r="E437" s="14">
        <v>89.3</v>
      </c>
      <c r="F437" s="14">
        <v>86.6</v>
      </c>
      <c r="G437" s="14">
        <v>131.2</v>
      </c>
      <c r="H437" s="14">
        <v>95.8</v>
      </c>
      <c r="I437" s="14">
        <v>67.0</v>
      </c>
      <c r="J437" s="9">
        <v>104.8</v>
      </c>
      <c r="K437" s="14">
        <v>168.6</v>
      </c>
      <c r="L437" s="14">
        <v>197.0</v>
      </c>
      <c r="M437" s="14">
        <v>191.4</v>
      </c>
    </row>
    <row r="438" ht="14.25" customHeight="1">
      <c r="A438" s="15">
        <v>189.0</v>
      </c>
      <c r="B438" s="13" t="s">
        <v>60</v>
      </c>
      <c r="C438" s="9">
        <v>83.9</v>
      </c>
      <c r="D438" s="14">
        <v>49.1</v>
      </c>
      <c r="E438" s="14">
        <v>93.0</v>
      </c>
      <c r="F438" s="14">
        <v>86.7</v>
      </c>
      <c r="G438" s="14">
        <v>135.5</v>
      </c>
      <c r="H438" s="14">
        <v>96.3</v>
      </c>
      <c r="I438" s="14">
        <v>66.5</v>
      </c>
      <c r="J438" s="9">
        <v>105.9</v>
      </c>
      <c r="K438" s="14">
        <v>167.3</v>
      </c>
      <c r="L438" s="14">
        <v>198.9</v>
      </c>
      <c r="M438" s="14">
        <v>190.2</v>
      </c>
    </row>
    <row r="439" ht="14.25" customHeight="1">
      <c r="A439" s="15">
        <v>726.0</v>
      </c>
      <c r="B439" s="13" t="s">
        <v>29</v>
      </c>
      <c r="C439" s="9">
        <v>31.5</v>
      </c>
      <c r="D439" s="14">
        <v>23.5</v>
      </c>
      <c r="E439" s="14">
        <v>40.4</v>
      </c>
      <c r="F439" s="14">
        <v>47.2</v>
      </c>
      <c r="G439" s="14">
        <v>61.0</v>
      </c>
      <c r="H439" s="14">
        <v>32.4</v>
      </c>
      <c r="I439" s="14">
        <v>31.21669925895694</v>
      </c>
      <c r="J439" s="9">
        <v>53.24947120752208</v>
      </c>
      <c r="K439" s="14">
        <v>70.2</v>
      </c>
      <c r="L439" s="14">
        <v>80.7</v>
      </c>
      <c r="M439" s="14">
        <v>76.9</v>
      </c>
    </row>
    <row r="440" ht="14.25" customHeight="1">
      <c r="A440" s="15">
        <v>727.0</v>
      </c>
      <c r="B440" s="13" t="s">
        <v>29</v>
      </c>
      <c r="C440" s="9">
        <v>32.4</v>
      </c>
      <c r="D440" s="14">
        <v>24.5</v>
      </c>
      <c r="E440" s="14">
        <v>41.5</v>
      </c>
      <c r="F440" s="14">
        <v>46.1</v>
      </c>
      <c r="G440" s="14">
        <v>60.05278601810955</v>
      </c>
      <c r="H440" s="14">
        <v>31.35542686062285</v>
      </c>
      <c r="I440" s="14">
        <v>32.4</v>
      </c>
      <c r="J440" s="9">
        <v>53.5</v>
      </c>
      <c r="K440" s="14">
        <v>67.8</v>
      </c>
      <c r="L440" s="14">
        <v>78.7301106604877</v>
      </c>
      <c r="M440" s="14">
        <v>75.70105786410141</v>
      </c>
    </row>
    <row r="441" ht="14.25" customHeight="1">
      <c r="A441" s="15">
        <v>728.0</v>
      </c>
      <c r="B441" s="13" t="s">
        <v>29</v>
      </c>
      <c r="C441" s="9">
        <v>35.0</v>
      </c>
      <c r="D441" s="14">
        <v>25.9</v>
      </c>
      <c r="E441" s="14">
        <v>42.0</v>
      </c>
      <c r="F441" s="14">
        <v>47.8</v>
      </c>
      <c r="G441" s="14">
        <v>61.302909653725315</v>
      </c>
      <c r="H441" s="14">
        <v>33.426510042128584</v>
      </c>
      <c r="I441" s="14">
        <v>32.2</v>
      </c>
      <c r="J441" s="9">
        <v>55.5</v>
      </c>
      <c r="K441" s="14">
        <v>70.3</v>
      </c>
      <c r="L441" s="14">
        <v>81.67403558643274</v>
      </c>
      <c r="M441" s="14">
        <v>77.84187537632536</v>
      </c>
    </row>
    <row r="442" ht="14.25" customHeight="1">
      <c r="A442" s="15">
        <v>729.0</v>
      </c>
      <c r="B442" s="13" t="s">
        <v>29</v>
      </c>
      <c r="C442" s="9">
        <v>35.0</v>
      </c>
      <c r="D442" s="14">
        <v>26.2</v>
      </c>
      <c r="E442" s="14">
        <v>40.3</v>
      </c>
      <c r="F442" s="14">
        <v>46.6</v>
      </c>
      <c r="G442" s="14">
        <v>60.0567857459455</v>
      </c>
      <c r="H442" s="14">
        <v>32.8699605013785</v>
      </c>
      <c r="I442" s="14">
        <v>32.0</v>
      </c>
      <c r="J442" s="9">
        <v>54.0</v>
      </c>
      <c r="K442" s="14">
        <v>68.08974757389358</v>
      </c>
      <c r="L442" s="14">
        <v>80.50960039028755</v>
      </c>
      <c r="M442" s="14">
        <v>76.96743652772177</v>
      </c>
    </row>
    <row r="443" ht="14.25" customHeight="1">
      <c r="A443" s="15">
        <v>730.0</v>
      </c>
      <c r="B443" s="13" t="s">
        <v>29</v>
      </c>
      <c r="C443" s="9">
        <v>36.9</v>
      </c>
      <c r="D443" s="14">
        <v>25.0</v>
      </c>
      <c r="E443" s="14">
        <v>42.4</v>
      </c>
      <c r="F443" s="14">
        <v>48.5</v>
      </c>
      <c r="G443" s="14">
        <v>62.0</v>
      </c>
      <c r="H443" s="14">
        <v>33.0</v>
      </c>
      <c r="I443" s="14">
        <v>31.95727855828366</v>
      </c>
      <c r="J443" s="9">
        <v>59.553109785076266</v>
      </c>
      <c r="K443" s="14">
        <v>69.4</v>
      </c>
      <c r="L443" s="14">
        <v>80.4</v>
      </c>
      <c r="M443" s="14">
        <v>77.1</v>
      </c>
    </row>
    <row r="444" ht="14.25" customHeight="1">
      <c r="A444" s="15">
        <v>731.0</v>
      </c>
      <c r="B444" s="13" t="s">
        <v>29</v>
      </c>
      <c r="C444" s="9">
        <v>34.5</v>
      </c>
      <c r="D444" s="14">
        <v>25.0</v>
      </c>
      <c r="E444" s="14">
        <v>38.8</v>
      </c>
      <c r="F444" s="14">
        <v>47.4</v>
      </c>
      <c r="G444" s="14">
        <v>61.09198396191481</v>
      </c>
      <c r="H444" s="14">
        <v>32.9616814513245</v>
      </c>
      <c r="I444" s="14">
        <v>31.7</v>
      </c>
      <c r="J444" s="9">
        <v>53.1</v>
      </c>
      <c r="K444" s="14">
        <v>69.9</v>
      </c>
      <c r="L444" s="14">
        <v>80.86932739368982</v>
      </c>
      <c r="M444" s="14">
        <v>76.84751188682147</v>
      </c>
    </row>
    <row r="445" ht="14.25" customHeight="1">
      <c r="A445" s="15">
        <v>732.0</v>
      </c>
      <c r="B445" s="13" t="s">
        <v>29</v>
      </c>
      <c r="C445" s="9">
        <v>35.8</v>
      </c>
      <c r="D445" s="14">
        <v>24.7</v>
      </c>
      <c r="E445" s="14">
        <v>38.4</v>
      </c>
      <c r="F445" s="14">
        <v>46.8</v>
      </c>
      <c r="G445" s="14">
        <v>60.0</v>
      </c>
      <c r="H445" s="14">
        <v>32.6</v>
      </c>
      <c r="I445" s="14">
        <v>32.3</v>
      </c>
      <c r="J445" s="9">
        <v>54.5</v>
      </c>
      <c r="K445" s="14">
        <v>70.0</v>
      </c>
      <c r="L445" s="14">
        <v>79.7</v>
      </c>
      <c r="M445" s="14">
        <v>75.7</v>
      </c>
    </row>
    <row r="446" ht="14.25" customHeight="1">
      <c r="A446" s="15">
        <v>733.0</v>
      </c>
      <c r="B446" s="13" t="s">
        <v>29</v>
      </c>
      <c r="C446" s="9">
        <v>34.2</v>
      </c>
      <c r="D446" s="14">
        <v>24.586996155284194</v>
      </c>
      <c r="E446" s="14">
        <v>38.4</v>
      </c>
      <c r="F446" s="14">
        <v>46.640531905920234</v>
      </c>
      <c r="G446" s="14">
        <v>59.926396300248754</v>
      </c>
      <c r="H446" s="14">
        <v>32.376072665479526</v>
      </c>
      <c r="I446" s="14">
        <v>31.369410334445526</v>
      </c>
      <c r="J446" s="9">
        <v>53.2337431897244</v>
      </c>
      <c r="K446" s="14">
        <v>68.84249176126018</v>
      </c>
      <c r="L446" s="14">
        <v>79.82030938969103</v>
      </c>
      <c r="M446" s="14">
        <v>76.07819021294135</v>
      </c>
    </row>
    <row r="447" ht="14.25" customHeight="1">
      <c r="A447" s="15">
        <v>734.0</v>
      </c>
      <c r="B447" s="13" t="s">
        <v>29</v>
      </c>
      <c r="C447" s="9">
        <v>34.0393489611767</v>
      </c>
      <c r="D447" s="14">
        <v>24.856551958131902</v>
      </c>
      <c r="E447" s="14">
        <v>39.9</v>
      </c>
      <c r="F447" s="14">
        <v>46.891184702665555</v>
      </c>
      <c r="G447" s="14">
        <v>60.33324072356585</v>
      </c>
      <c r="H447" s="14">
        <v>32.36318851158828</v>
      </c>
      <c r="I447" s="14">
        <v>31.7367599774173</v>
      </c>
      <c r="J447" s="9">
        <v>53.67001288525338</v>
      </c>
      <c r="K447" s="14">
        <v>69.00212103320308</v>
      </c>
      <c r="L447" s="14">
        <v>79.99289190425456</v>
      </c>
      <c r="M447" s="14">
        <v>76.39704411405118</v>
      </c>
    </row>
    <row r="448" ht="14.25" customHeight="1">
      <c r="A448" s="15">
        <v>735.0</v>
      </c>
      <c r="B448" s="13" t="s">
        <v>29</v>
      </c>
      <c r="C448" s="9">
        <v>32.11013210256461</v>
      </c>
      <c r="D448" s="14">
        <v>24.52816859617289</v>
      </c>
      <c r="E448" s="14">
        <v>39.0</v>
      </c>
      <c r="F448" s="14">
        <v>45.4</v>
      </c>
      <c r="G448" s="14">
        <v>58.75203177447563</v>
      </c>
      <c r="H448" s="14">
        <v>31.29595862170112</v>
      </c>
      <c r="I448" s="14">
        <v>31.61188374784704</v>
      </c>
      <c r="J448" s="9">
        <v>50.93695272939704</v>
      </c>
      <c r="K448" s="14">
        <v>67.4197908365903</v>
      </c>
      <c r="L448" s="14">
        <v>78.60042809608906</v>
      </c>
      <c r="M448" s="14">
        <v>75.31862551641159</v>
      </c>
    </row>
    <row r="449" ht="14.25" customHeight="1">
      <c r="A449" s="15">
        <v>736.0</v>
      </c>
      <c r="B449" s="13" t="s">
        <v>29</v>
      </c>
      <c r="C449" s="9">
        <v>33.888883426247546</v>
      </c>
      <c r="D449" s="14">
        <v>24.653763083710974</v>
      </c>
      <c r="E449" s="14">
        <v>39.1</v>
      </c>
      <c r="F449" s="14">
        <v>46.69150998728783</v>
      </c>
      <c r="G449" s="14">
        <v>60.06330382232004</v>
      </c>
      <c r="H449" s="14">
        <v>32.29841243020348</v>
      </c>
      <c r="I449" s="14">
        <v>31.518145192355053</v>
      </c>
      <c r="J449" s="9">
        <v>53.21099682550557</v>
      </c>
      <c r="K449" s="14">
        <v>68.87164105144076</v>
      </c>
      <c r="L449" s="14">
        <v>79.84794910849907</v>
      </c>
      <c r="M449" s="14">
        <v>76.19043253358558</v>
      </c>
    </row>
    <row r="450" ht="14.25" customHeight="1">
      <c r="A450" s="15">
        <v>737.0</v>
      </c>
      <c r="B450" s="13" t="s">
        <v>29</v>
      </c>
      <c r="C450" s="9">
        <v>33.7</v>
      </c>
      <c r="D450" s="14">
        <v>25.4</v>
      </c>
      <c r="E450" s="14">
        <v>38.0</v>
      </c>
      <c r="F450" s="14">
        <v>46.7</v>
      </c>
      <c r="G450" s="14">
        <v>60.4</v>
      </c>
      <c r="H450" s="14">
        <v>32.6</v>
      </c>
      <c r="I450" s="14">
        <v>31.6</v>
      </c>
      <c r="J450" s="9">
        <v>50.2</v>
      </c>
      <c r="K450" s="14">
        <v>68.8</v>
      </c>
      <c r="L450" s="14">
        <v>80.5</v>
      </c>
      <c r="M450" s="14">
        <v>76.6</v>
      </c>
    </row>
    <row r="451" ht="14.25" customHeight="1">
      <c r="A451" s="15">
        <v>738.0</v>
      </c>
      <c r="B451" s="13" t="s">
        <v>29</v>
      </c>
      <c r="C451" s="9">
        <v>33.2</v>
      </c>
      <c r="D451" s="14">
        <v>22.6</v>
      </c>
      <c r="E451" s="14">
        <v>33.72993524597125</v>
      </c>
      <c r="F451" s="14">
        <v>45.5</v>
      </c>
      <c r="G451" s="14">
        <v>58.6</v>
      </c>
      <c r="H451" s="14">
        <v>32.5</v>
      </c>
      <c r="I451" s="14">
        <v>29.5</v>
      </c>
      <c r="J451" s="9">
        <v>53.2723569928695</v>
      </c>
      <c r="K451" s="14">
        <v>67.7</v>
      </c>
      <c r="L451" s="14">
        <v>79.4</v>
      </c>
      <c r="M451" s="14">
        <v>75.3</v>
      </c>
    </row>
    <row r="452" ht="14.25" customHeight="1">
      <c r="A452" s="15">
        <v>739.0</v>
      </c>
      <c r="B452" s="13" t="s">
        <v>29</v>
      </c>
      <c r="C452" s="9">
        <v>33.2</v>
      </c>
      <c r="D452" s="14">
        <v>24.1</v>
      </c>
      <c r="E452" s="14">
        <v>37.5</v>
      </c>
      <c r="F452" s="14">
        <v>46.3</v>
      </c>
      <c r="G452" s="14">
        <v>59.1</v>
      </c>
      <c r="H452" s="14">
        <v>31.0</v>
      </c>
      <c r="I452" s="14">
        <v>31.1</v>
      </c>
      <c r="J452" s="9">
        <v>51.0</v>
      </c>
      <c r="K452" s="14">
        <v>68.7</v>
      </c>
      <c r="L452" s="14">
        <v>78.2</v>
      </c>
      <c r="M452" s="14">
        <v>74.7</v>
      </c>
    </row>
    <row r="453" ht="14.25" customHeight="1">
      <c r="A453" s="15">
        <v>740.0</v>
      </c>
      <c r="B453" s="13" t="s">
        <v>29</v>
      </c>
      <c r="C453" s="9">
        <v>33.2</v>
      </c>
      <c r="D453" s="14">
        <v>24.7</v>
      </c>
      <c r="E453" s="14">
        <v>38.6</v>
      </c>
      <c r="F453" s="14">
        <v>46.25542206446523</v>
      </c>
      <c r="G453" s="14">
        <v>58.8</v>
      </c>
      <c r="H453" s="14">
        <v>31.5</v>
      </c>
      <c r="I453" s="14">
        <v>31.0</v>
      </c>
      <c r="J453" s="9">
        <v>49.9</v>
      </c>
      <c r="K453" s="14">
        <v>68.3</v>
      </c>
      <c r="L453" s="14">
        <v>79.0</v>
      </c>
      <c r="M453" s="14">
        <v>75.57733638798297</v>
      </c>
    </row>
    <row r="454" ht="14.25" customHeight="1">
      <c r="A454" s="15">
        <v>650.0</v>
      </c>
      <c r="B454" s="13" t="s">
        <v>30</v>
      </c>
      <c r="C454" s="9">
        <v>26.894898577592567</v>
      </c>
      <c r="D454" s="14">
        <v>23.66899799985156</v>
      </c>
      <c r="E454" s="14">
        <v>36.6</v>
      </c>
      <c r="F454" s="14">
        <v>44.4</v>
      </c>
      <c r="G454" s="14">
        <v>55.7</v>
      </c>
      <c r="H454" s="14">
        <v>37.1</v>
      </c>
      <c r="I454" s="14">
        <v>26.38328345125604</v>
      </c>
      <c r="J454" s="9">
        <v>44.93907025030845</v>
      </c>
      <c r="K454" s="14">
        <v>46.6</v>
      </c>
      <c r="L454" s="14">
        <v>52.3</v>
      </c>
      <c r="M454" s="14">
        <v>48.5</v>
      </c>
    </row>
    <row r="455" ht="14.25" customHeight="1">
      <c r="A455" s="15">
        <v>651.0</v>
      </c>
      <c r="B455" s="13" t="s">
        <v>30</v>
      </c>
      <c r="C455" s="9">
        <v>30.8</v>
      </c>
      <c r="D455" s="14">
        <v>24.4</v>
      </c>
      <c r="E455" s="14">
        <v>33.9</v>
      </c>
      <c r="F455" s="14">
        <v>47.5</v>
      </c>
      <c r="G455" s="14">
        <v>60.0</v>
      </c>
      <c r="H455" s="14">
        <v>36.9</v>
      </c>
      <c r="I455" s="14">
        <v>28.4</v>
      </c>
      <c r="J455" s="9">
        <v>46.4</v>
      </c>
      <c r="K455" s="14">
        <v>46.236774317231365</v>
      </c>
      <c r="L455" s="14">
        <v>57.4</v>
      </c>
      <c r="M455" s="14">
        <v>52.7</v>
      </c>
    </row>
    <row r="456" ht="14.25" customHeight="1">
      <c r="A456" s="15">
        <v>652.0</v>
      </c>
      <c r="B456" s="13" t="s">
        <v>30</v>
      </c>
      <c r="C456" s="9">
        <v>25.0</v>
      </c>
      <c r="D456" s="14">
        <v>21.7</v>
      </c>
      <c r="E456" s="14">
        <v>37.8</v>
      </c>
      <c r="F456" s="14">
        <v>43.8</v>
      </c>
      <c r="G456" s="14">
        <v>54.9</v>
      </c>
      <c r="H456" s="14">
        <v>36.9</v>
      </c>
      <c r="I456" s="14">
        <v>25.735395109048195</v>
      </c>
      <c r="J456" s="9">
        <v>47.26793970099652</v>
      </c>
      <c r="K456" s="14">
        <v>44.9906588349061</v>
      </c>
      <c r="L456" s="14">
        <v>51.01696166871771</v>
      </c>
      <c r="M456" s="14">
        <v>46.91729573247357</v>
      </c>
    </row>
    <row r="457" ht="14.25" customHeight="1">
      <c r="A457" s="15">
        <v>653.0</v>
      </c>
      <c r="B457" s="13" t="s">
        <v>30</v>
      </c>
      <c r="C457" s="9">
        <v>29.8</v>
      </c>
      <c r="D457" s="14">
        <v>25.2</v>
      </c>
      <c r="E457" s="14">
        <v>44.3</v>
      </c>
      <c r="F457" s="14">
        <v>47.6</v>
      </c>
      <c r="G457" s="14">
        <v>60.2</v>
      </c>
      <c r="H457" s="14">
        <v>40.0</v>
      </c>
      <c r="I457" s="14">
        <v>28.2</v>
      </c>
      <c r="J457" s="9">
        <v>49.8</v>
      </c>
      <c r="K457" s="14">
        <v>51.9</v>
      </c>
      <c r="L457" s="14">
        <v>58.1</v>
      </c>
      <c r="M457" s="14">
        <v>53.7</v>
      </c>
    </row>
    <row r="458" ht="14.25" customHeight="1">
      <c r="A458" s="15">
        <v>654.0</v>
      </c>
      <c r="B458" s="13" t="s">
        <v>30</v>
      </c>
      <c r="C458" s="9">
        <v>29.7</v>
      </c>
      <c r="D458" s="14">
        <v>23.3</v>
      </c>
      <c r="E458" s="14">
        <v>41.6</v>
      </c>
      <c r="F458" s="14">
        <v>45.0</v>
      </c>
      <c r="G458" s="14">
        <v>56.9</v>
      </c>
      <c r="H458" s="14">
        <v>35.6</v>
      </c>
      <c r="I458" s="14">
        <v>27.0</v>
      </c>
      <c r="J458" s="9">
        <v>48.1</v>
      </c>
      <c r="K458" s="14">
        <v>48.8</v>
      </c>
      <c r="L458" s="14">
        <v>55.5</v>
      </c>
      <c r="M458" s="14">
        <v>50.9</v>
      </c>
    </row>
    <row r="459" ht="14.25" customHeight="1">
      <c r="A459" s="15">
        <v>655.0</v>
      </c>
      <c r="B459" s="13" t="s">
        <v>30</v>
      </c>
      <c r="C459" s="9">
        <v>32.2</v>
      </c>
      <c r="D459" s="14">
        <v>25.4</v>
      </c>
      <c r="E459" s="14">
        <v>40.3</v>
      </c>
      <c r="F459" s="14">
        <v>46.5</v>
      </c>
      <c r="G459" s="14">
        <v>60.0</v>
      </c>
      <c r="H459" s="14">
        <v>38.6</v>
      </c>
      <c r="I459" s="14">
        <v>27.6</v>
      </c>
      <c r="J459" s="9">
        <v>46.5</v>
      </c>
      <c r="K459" s="14">
        <v>50.6</v>
      </c>
      <c r="L459" s="14">
        <v>57.9</v>
      </c>
      <c r="M459" s="14">
        <v>53.1</v>
      </c>
    </row>
    <row r="460" ht="14.25" customHeight="1">
      <c r="A460" s="15">
        <v>656.0</v>
      </c>
      <c r="B460" s="13" t="s">
        <v>30</v>
      </c>
      <c r="C460" s="9">
        <v>30.0</v>
      </c>
      <c r="D460" s="14">
        <v>23.5</v>
      </c>
      <c r="E460" s="14">
        <v>42.6</v>
      </c>
      <c r="F460" s="14">
        <v>45.0</v>
      </c>
      <c r="G460" s="14">
        <v>56.8</v>
      </c>
      <c r="H460" s="14">
        <v>37.0</v>
      </c>
      <c r="I460" s="14">
        <v>28.6</v>
      </c>
      <c r="J460" s="9">
        <v>47.9</v>
      </c>
      <c r="K460" s="14">
        <v>49.4</v>
      </c>
      <c r="L460" s="14">
        <v>55.7</v>
      </c>
      <c r="M460" s="14">
        <v>51.3</v>
      </c>
    </row>
    <row r="461" ht="14.25" customHeight="1">
      <c r="A461" s="15">
        <v>657.0</v>
      </c>
      <c r="B461" s="13" t="s">
        <v>30</v>
      </c>
      <c r="C461" s="9">
        <v>30.1</v>
      </c>
      <c r="D461" s="14">
        <v>24.0</v>
      </c>
      <c r="E461" s="14">
        <v>40.2</v>
      </c>
      <c r="F461" s="14">
        <v>46.0</v>
      </c>
      <c r="G461" s="14">
        <v>58.4</v>
      </c>
      <c r="H461" s="14">
        <v>37.2</v>
      </c>
      <c r="I461" s="14">
        <v>27.2</v>
      </c>
      <c r="J461" s="9">
        <v>46.9</v>
      </c>
      <c r="K461" s="14">
        <v>49.20935866145131</v>
      </c>
      <c r="L461" s="14">
        <v>56.4</v>
      </c>
      <c r="M461" s="14">
        <v>51.5</v>
      </c>
    </row>
    <row r="462" ht="14.25" customHeight="1">
      <c r="A462" s="15">
        <v>658.0</v>
      </c>
      <c r="B462" s="13" t="s">
        <v>30</v>
      </c>
      <c r="C462" s="9">
        <v>28.7</v>
      </c>
      <c r="D462" s="14">
        <v>22.2</v>
      </c>
      <c r="E462" s="14">
        <v>37.1</v>
      </c>
      <c r="F462" s="14">
        <v>42.7</v>
      </c>
      <c r="G462" s="14">
        <v>53.0</v>
      </c>
      <c r="H462" s="14">
        <v>35.2</v>
      </c>
      <c r="I462" s="14">
        <v>26.4</v>
      </c>
      <c r="J462" s="9">
        <v>42.0</v>
      </c>
      <c r="K462" s="14">
        <v>45.1</v>
      </c>
      <c r="L462" s="14">
        <v>50.5</v>
      </c>
      <c r="M462" s="14">
        <v>46.3</v>
      </c>
    </row>
    <row r="463" ht="14.25" customHeight="1">
      <c r="A463" s="15">
        <v>659.0</v>
      </c>
      <c r="B463" s="13" t="s">
        <v>30</v>
      </c>
      <c r="C463" s="9">
        <v>28.4</v>
      </c>
      <c r="D463" s="14">
        <v>21.7</v>
      </c>
      <c r="E463" s="14">
        <v>37.6</v>
      </c>
      <c r="F463" s="14">
        <v>41.5</v>
      </c>
      <c r="G463" s="14">
        <v>51.9</v>
      </c>
      <c r="H463" s="14">
        <v>34.4</v>
      </c>
      <c r="I463" s="14">
        <v>26.349460551122068</v>
      </c>
      <c r="J463" s="9">
        <v>43.4</v>
      </c>
      <c r="K463" s="14">
        <v>44.1</v>
      </c>
      <c r="L463" s="14">
        <v>50.0</v>
      </c>
      <c r="M463" s="14">
        <v>45.6</v>
      </c>
    </row>
    <row r="464" ht="14.25" customHeight="1">
      <c r="A464" s="15">
        <v>660.0</v>
      </c>
      <c r="B464" s="13" t="s">
        <v>30</v>
      </c>
      <c r="C464" s="9">
        <v>29.4</v>
      </c>
      <c r="D464" s="14">
        <v>23.9</v>
      </c>
      <c r="E464" s="14">
        <v>40.2</v>
      </c>
      <c r="F464" s="14">
        <v>45.6</v>
      </c>
      <c r="G464" s="14">
        <v>57.0</v>
      </c>
      <c r="H464" s="14">
        <v>37.0</v>
      </c>
      <c r="I464" s="14">
        <v>28.6</v>
      </c>
      <c r="J464" s="9">
        <v>46.0</v>
      </c>
      <c r="K464" s="14">
        <v>49.9</v>
      </c>
      <c r="L464" s="14">
        <v>56.1</v>
      </c>
      <c r="M464" s="14">
        <v>51.7</v>
      </c>
    </row>
    <row r="465" ht="14.25" customHeight="1">
      <c r="A465" s="15">
        <v>661.0</v>
      </c>
      <c r="B465" s="13" t="s">
        <v>30</v>
      </c>
      <c r="C465" s="9">
        <v>30.8</v>
      </c>
      <c r="D465" s="14">
        <v>23.0</v>
      </c>
      <c r="E465" s="14">
        <v>40.3</v>
      </c>
      <c r="F465" s="14">
        <v>44.386005232098064</v>
      </c>
      <c r="G465" s="14">
        <v>55.99423213510585</v>
      </c>
      <c r="H465" s="14">
        <v>36.0410884526818</v>
      </c>
      <c r="I465" s="14">
        <v>27.70957686517504</v>
      </c>
      <c r="J465" s="9">
        <v>45.58056299338105</v>
      </c>
      <c r="K465" s="14">
        <v>47.590692269030775</v>
      </c>
      <c r="L465" s="14">
        <v>54.61586194979414</v>
      </c>
      <c r="M465" s="14">
        <v>49.81029564461301</v>
      </c>
    </row>
    <row r="466" ht="14.25" customHeight="1">
      <c r="A466" s="15">
        <v>662.0</v>
      </c>
      <c r="B466" s="13" t="s">
        <v>30</v>
      </c>
      <c r="C466" s="9">
        <v>29.6</v>
      </c>
      <c r="D466" s="14">
        <v>23.2</v>
      </c>
      <c r="E466" s="14">
        <v>39.7</v>
      </c>
      <c r="F466" s="14">
        <v>46.2</v>
      </c>
      <c r="G466" s="14">
        <v>58.27774063943907</v>
      </c>
      <c r="H466" s="14">
        <v>37.09865115101513</v>
      </c>
      <c r="I466" s="14">
        <v>27.961117563845338</v>
      </c>
      <c r="J466" s="9">
        <v>47.84977341928047</v>
      </c>
      <c r="K466" s="14">
        <v>48.27564591875573</v>
      </c>
      <c r="L466" s="14">
        <v>56.36952306103879</v>
      </c>
      <c r="M466" s="14">
        <v>51.61770823840366</v>
      </c>
    </row>
    <row r="467" ht="14.25" customHeight="1">
      <c r="A467" s="15">
        <v>663.0</v>
      </c>
      <c r="B467" s="13" t="s">
        <v>30</v>
      </c>
      <c r="C467" s="9">
        <v>30.4</v>
      </c>
      <c r="D467" s="14">
        <v>21.9</v>
      </c>
      <c r="E467" s="14">
        <v>38.0</v>
      </c>
      <c r="F467" s="14">
        <v>43.2</v>
      </c>
      <c r="G467" s="14">
        <v>54.20677805872587</v>
      </c>
      <c r="H467" s="14">
        <v>34.49349217832488</v>
      </c>
      <c r="I467" s="14">
        <v>27.395224974416262</v>
      </c>
      <c r="J467" s="9">
        <v>43.87663321390383</v>
      </c>
      <c r="K467" s="14">
        <v>45.6</v>
      </c>
      <c r="L467" s="14">
        <v>52.930229968998106</v>
      </c>
      <c r="M467" s="14">
        <v>48.093077391077074</v>
      </c>
    </row>
    <row r="468" ht="14.25" customHeight="1">
      <c r="A468" s="15">
        <v>664.0</v>
      </c>
      <c r="B468" s="13" t="s">
        <v>30</v>
      </c>
      <c r="C468" s="9">
        <v>29.6</v>
      </c>
      <c r="D468" s="14">
        <v>22.8</v>
      </c>
      <c r="E468" s="14">
        <v>40.9</v>
      </c>
      <c r="F468" s="14">
        <v>44.0</v>
      </c>
      <c r="G468" s="14">
        <v>54.8</v>
      </c>
      <c r="H468" s="14">
        <v>38.1</v>
      </c>
      <c r="I468" s="14">
        <v>27.6</v>
      </c>
      <c r="J468" s="9">
        <v>45.7</v>
      </c>
      <c r="K468" s="14">
        <v>46.1</v>
      </c>
      <c r="L468" s="14">
        <v>52.6</v>
      </c>
      <c r="M468" s="14">
        <v>48.0</v>
      </c>
    </row>
    <row r="469" ht="14.25" customHeight="1">
      <c r="A469" s="15">
        <v>665.0</v>
      </c>
      <c r="B469" s="13" t="s">
        <v>30</v>
      </c>
      <c r="C469" s="9">
        <v>30.6</v>
      </c>
      <c r="D469" s="14">
        <v>23.9</v>
      </c>
      <c r="E469" s="14">
        <v>42.0</v>
      </c>
      <c r="F469" s="14">
        <v>45.2</v>
      </c>
      <c r="G469" s="14">
        <v>57.7</v>
      </c>
      <c r="H469" s="14">
        <v>37.0</v>
      </c>
      <c r="I469" s="14">
        <v>27.4</v>
      </c>
      <c r="J469" s="9">
        <v>46.7</v>
      </c>
      <c r="K469" s="14">
        <v>49.0</v>
      </c>
      <c r="L469" s="14">
        <v>55.3</v>
      </c>
      <c r="M469" s="14">
        <v>50.5</v>
      </c>
    </row>
    <row r="470" ht="14.25" customHeight="1">
      <c r="A470" s="15">
        <v>666.0</v>
      </c>
      <c r="B470" s="13" t="s">
        <v>30</v>
      </c>
      <c r="C470" s="9">
        <v>27.7</v>
      </c>
      <c r="D470" s="14">
        <v>23.2</v>
      </c>
      <c r="E470" s="14">
        <v>38.4</v>
      </c>
      <c r="F470" s="14">
        <v>42.8</v>
      </c>
      <c r="G470" s="14">
        <v>53.3</v>
      </c>
      <c r="H470" s="14">
        <v>36.0</v>
      </c>
      <c r="I470" s="14">
        <v>26.3</v>
      </c>
      <c r="J470" s="9">
        <v>44.8</v>
      </c>
      <c r="K470" s="14">
        <v>44.8</v>
      </c>
      <c r="L470" s="14">
        <v>50.4</v>
      </c>
      <c r="M470" s="14">
        <v>46.4</v>
      </c>
    </row>
    <row r="471" ht="14.25" customHeight="1">
      <c r="A471" s="15">
        <v>583.0</v>
      </c>
      <c r="B471" s="13" t="s">
        <v>61</v>
      </c>
      <c r="C471" s="9">
        <v>41.5</v>
      </c>
      <c r="D471" s="14">
        <v>35.0</v>
      </c>
      <c r="E471" s="14">
        <v>63.8</v>
      </c>
      <c r="F471" s="14">
        <v>58.5</v>
      </c>
      <c r="G471" s="14">
        <v>71.7</v>
      </c>
      <c r="H471" s="14">
        <v>44.9</v>
      </c>
      <c r="I471" s="14">
        <v>37.7</v>
      </c>
      <c r="J471" s="9">
        <v>63.2</v>
      </c>
      <c r="K471" s="14">
        <v>69.4</v>
      </c>
      <c r="L471" s="14">
        <v>79.8</v>
      </c>
      <c r="M471" s="14">
        <v>72.6</v>
      </c>
    </row>
    <row r="472" ht="14.25" customHeight="1">
      <c r="A472" s="15">
        <v>584.0</v>
      </c>
      <c r="B472" s="13" t="s">
        <v>61</v>
      </c>
      <c r="C472" s="9">
        <v>42.4</v>
      </c>
      <c r="D472" s="14">
        <v>33.4</v>
      </c>
      <c r="E472" s="14">
        <v>62.3</v>
      </c>
      <c r="F472" s="14">
        <v>59.0</v>
      </c>
      <c r="G472" s="14">
        <v>73.5</v>
      </c>
      <c r="H472" s="14">
        <v>45.5</v>
      </c>
      <c r="I472" s="14">
        <v>36.2</v>
      </c>
      <c r="J472" s="9">
        <v>61.9</v>
      </c>
      <c r="K472" s="14">
        <v>70.2</v>
      </c>
      <c r="L472" s="14">
        <v>79.5</v>
      </c>
      <c r="M472" s="14">
        <v>73.5</v>
      </c>
    </row>
    <row r="473" ht="14.25" customHeight="1">
      <c r="A473" s="15">
        <v>585.0</v>
      </c>
      <c r="B473" s="13" t="s">
        <v>61</v>
      </c>
      <c r="C473" s="9">
        <v>39.6</v>
      </c>
      <c r="D473" s="14">
        <v>29.7</v>
      </c>
      <c r="E473" s="14">
        <v>57.4</v>
      </c>
      <c r="F473" s="14">
        <v>54.4</v>
      </c>
      <c r="G473" s="14">
        <v>69.3</v>
      </c>
      <c r="H473" s="14">
        <v>42.1</v>
      </c>
      <c r="I473" s="14">
        <v>34.6</v>
      </c>
      <c r="J473" s="9">
        <v>59.6</v>
      </c>
      <c r="K473" s="14">
        <v>64.6</v>
      </c>
      <c r="L473" s="14">
        <v>75.0</v>
      </c>
      <c r="M473" s="14">
        <v>69.8</v>
      </c>
    </row>
    <row r="474" ht="14.25" customHeight="1">
      <c r="A474" s="15">
        <v>586.0</v>
      </c>
      <c r="B474" s="13" t="s">
        <v>61</v>
      </c>
      <c r="C474" s="9">
        <v>46.5</v>
      </c>
      <c r="D474" s="14">
        <v>37.3</v>
      </c>
      <c r="E474" s="14">
        <v>71.7</v>
      </c>
      <c r="F474" s="14">
        <v>67.4</v>
      </c>
      <c r="G474" s="14">
        <v>84.5</v>
      </c>
      <c r="H474" s="14">
        <v>50.5</v>
      </c>
      <c r="I474" s="14">
        <v>38.9</v>
      </c>
      <c r="J474" s="9">
        <v>68.1</v>
      </c>
      <c r="K474" s="14">
        <v>81.5</v>
      </c>
      <c r="L474" s="14">
        <v>94.3</v>
      </c>
      <c r="M474" s="14">
        <v>87.1</v>
      </c>
    </row>
    <row r="475" ht="14.25" customHeight="1">
      <c r="A475" s="15">
        <v>587.0</v>
      </c>
      <c r="B475" s="13" t="s">
        <v>61</v>
      </c>
      <c r="C475" s="9">
        <v>47.9</v>
      </c>
      <c r="D475" s="14">
        <v>38.3</v>
      </c>
      <c r="E475" s="14">
        <v>70.1</v>
      </c>
      <c r="F475" s="14">
        <v>66.9</v>
      </c>
      <c r="G475" s="14">
        <v>83.9</v>
      </c>
      <c r="H475" s="14">
        <v>50.1</v>
      </c>
      <c r="I475" s="14">
        <v>39.7</v>
      </c>
      <c r="J475" s="9">
        <v>71.9</v>
      </c>
      <c r="K475" s="14">
        <v>81.2</v>
      </c>
      <c r="L475" s="14">
        <v>90.8</v>
      </c>
      <c r="M475" s="14">
        <v>84.2</v>
      </c>
    </row>
    <row r="476" ht="14.25" customHeight="1">
      <c r="A476" s="15">
        <v>588.0</v>
      </c>
      <c r="B476" s="13" t="s">
        <v>61</v>
      </c>
      <c r="C476" s="9">
        <v>42.5</v>
      </c>
      <c r="D476" s="14">
        <v>34.6</v>
      </c>
      <c r="E476" s="14">
        <v>65.5</v>
      </c>
      <c r="F476" s="14">
        <v>57.7</v>
      </c>
      <c r="G476" s="14">
        <v>72.1</v>
      </c>
      <c r="H476" s="14">
        <v>45.8</v>
      </c>
      <c r="I476" s="14">
        <v>36.5</v>
      </c>
      <c r="J476" s="9">
        <v>60.7</v>
      </c>
      <c r="K476" s="14">
        <v>69.2</v>
      </c>
      <c r="L476" s="14">
        <v>78.4</v>
      </c>
      <c r="M476" s="14">
        <v>71.9</v>
      </c>
    </row>
    <row r="477" ht="14.25" customHeight="1">
      <c r="A477" s="15">
        <v>589.0</v>
      </c>
      <c r="B477" s="13" t="s">
        <v>61</v>
      </c>
      <c r="C477" s="9">
        <v>41.9</v>
      </c>
      <c r="D477" s="14">
        <v>34.8</v>
      </c>
      <c r="E477" s="14">
        <v>63.6</v>
      </c>
      <c r="F477" s="14">
        <v>60.5</v>
      </c>
      <c r="G477" s="14">
        <v>76.6</v>
      </c>
      <c r="H477" s="14">
        <v>47.5</v>
      </c>
      <c r="I477" s="14">
        <v>38.07759745352228</v>
      </c>
      <c r="J477" s="9">
        <v>64.7</v>
      </c>
      <c r="K477" s="14">
        <v>71.6</v>
      </c>
      <c r="L477" s="14">
        <v>82.7</v>
      </c>
      <c r="M477" s="14">
        <v>76.0</v>
      </c>
    </row>
    <row r="478" ht="14.25" customHeight="1">
      <c r="A478" s="15">
        <v>590.0</v>
      </c>
      <c r="B478" s="13" t="s">
        <v>61</v>
      </c>
      <c r="C478" s="9">
        <v>46.8</v>
      </c>
      <c r="D478" s="14">
        <v>36.5</v>
      </c>
      <c r="E478" s="14">
        <v>69.37823831993933</v>
      </c>
      <c r="F478" s="14">
        <v>65.2</v>
      </c>
      <c r="G478" s="14">
        <v>83.5</v>
      </c>
      <c r="H478" s="14">
        <v>49.4</v>
      </c>
      <c r="I478" s="14">
        <v>34.1</v>
      </c>
      <c r="J478" s="9">
        <v>56.82951163581943</v>
      </c>
      <c r="K478" s="14">
        <v>77.0</v>
      </c>
      <c r="L478" s="14">
        <v>90.5</v>
      </c>
      <c r="M478" s="14">
        <v>83.3</v>
      </c>
    </row>
    <row r="479" ht="14.25" customHeight="1">
      <c r="A479" s="15">
        <v>591.0</v>
      </c>
      <c r="B479" s="13" t="s">
        <v>61</v>
      </c>
      <c r="C479" s="9">
        <v>44.2</v>
      </c>
      <c r="D479" s="14">
        <v>35.8</v>
      </c>
      <c r="E479" s="14">
        <v>71.2</v>
      </c>
      <c r="F479" s="14">
        <v>63.5</v>
      </c>
      <c r="G479" s="14">
        <v>80.7</v>
      </c>
      <c r="H479" s="14">
        <v>49.6</v>
      </c>
      <c r="I479" s="14">
        <v>38.7</v>
      </c>
      <c r="J479" s="9">
        <v>67.3</v>
      </c>
      <c r="K479" s="14">
        <v>79.3</v>
      </c>
      <c r="L479" s="14">
        <v>90.7</v>
      </c>
      <c r="M479" s="14">
        <v>83.9</v>
      </c>
    </row>
    <row r="480" ht="14.25" customHeight="1">
      <c r="A480" s="15">
        <v>592.0</v>
      </c>
      <c r="B480" s="13" t="s">
        <v>61</v>
      </c>
      <c r="C480" s="9">
        <v>49.1</v>
      </c>
      <c r="D480" s="14">
        <v>39.1</v>
      </c>
      <c r="E480" s="14">
        <v>66.6</v>
      </c>
      <c r="F480" s="14">
        <v>71.6</v>
      </c>
      <c r="G480" s="14">
        <v>88.3</v>
      </c>
      <c r="H480" s="14">
        <v>55.4</v>
      </c>
      <c r="I480" s="14">
        <v>41.7</v>
      </c>
      <c r="J480" s="9">
        <v>73.7</v>
      </c>
      <c r="K480" s="14">
        <v>87.0</v>
      </c>
      <c r="L480" s="14">
        <v>100.7</v>
      </c>
      <c r="M480" s="14">
        <v>94.2</v>
      </c>
    </row>
    <row r="481" ht="14.25" customHeight="1">
      <c r="A481" s="15">
        <v>593.0</v>
      </c>
      <c r="B481" s="13" t="s">
        <v>61</v>
      </c>
      <c r="C481" s="9">
        <v>48.7</v>
      </c>
      <c r="D481" s="14">
        <v>37.4</v>
      </c>
      <c r="E481" s="14">
        <v>73.2</v>
      </c>
      <c r="F481" s="14">
        <v>70.1</v>
      </c>
      <c r="G481" s="14">
        <v>88.0</v>
      </c>
      <c r="H481" s="14">
        <v>53.4</v>
      </c>
      <c r="I481" s="14">
        <v>40.2</v>
      </c>
      <c r="J481" s="9">
        <v>64.8</v>
      </c>
      <c r="K481" s="14">
        <v>86.9</v>
      </c>
      <c r="L481" s="14">
        <v>97.9</v>
      </c>
      <c r="M481" s="14">
        <v>86.1</v>
      </c>
    </row>
    <row r="482" ht="14.25" customHeight="1">
      <c r="A482" s="15">
        <v>594.0</v>
      </c>
      <c r="B482" s="13" t="s">
        <v>61</v>
      </c>
      <c r="C482" s="9">
        <v>43.2</v>
      </c>
      <c r="D482" s="14">
        <v>33.2</v>
      </c>
      <c r="E482" s="14">
        <v>60.1</v>
      </c>
      <c r="F482" s="14">
        <v>59.1</v>
      </c>
      <c r="G482" s="14">
        <v>74.1</v>
      </c>
      <c r="H482" s="14">
        <v>45.4</v>
      </c>
      <c r="I482" s="14">
        <v>36.5</v>
      </c>
      <c r="J482" s="9">
        <v>62.0</v>
      </c>
      <c r="K482" s="14">
        <v>69.7</v>
      </c>
      <c r="L482" s="14">
        <v>79.6</v>
      </c>
      <c r="M482" s="14">
        <v>73.1</v>
      </c>
    </row>
    <row r="483" ht="14.25" customHeight="1">
      <c r="A483" s="15">
        <v>595.0</v>
      </c>
      <c r="B483" s="13" t="s">
        <v>61</v>
      </c>
      <c r="C483" s="9">
        <v>45.1</v>
      </c>
      <c r="D483" s="14">
        <v>38.6</v>
      </c>
      <c r="E483" s="14">
        <v>76.3</v>
      </c>
      <c r="F483" s="14">
        <v>69.3</v>
      </c>
      <c r="G483" s="14">
        <v>88.2</v>
      </c>
      <c r="H483" s="14">
        <v>51.6</v>
      </c>
      <c r="I483" s="14">
        <v>39.5</v>
      </c>
      <c r="J483" s="9">
        <v>70.2</v>
      </c>
      <c r="K483" s="14">
        <v>84.4</v>
      </c>
      <c r="L483" s="14">
        <v>96.1</v>
      </c>
      <c r="M483" s="14">
        <v>89.1</v>
      </c>
    </row>
    <row r="484" ht="14.25" customHeight="1">
      <c r="A484" s="15">
        <v>596.0</v>
      </c>
      <c r="B484" s="13" t="s">
        <v>61</v>
      </c>
      <c r="C484" s="9">
        <v>43.4</v>
      </c>
      <c r="D484" s="14">
        <v>34.3</v>
      </c>
      <c r="E484" s="14">
        <v>65.9</v>
      </c>
      <c r="F484" s="14">
        <v>62.3</v>
      </c>
      <c r="G484" s="14">
        <v>78.3</v>
      </c>
      <c r="H484" s="14">
        <v>48.1</v>
      </c>
      <c r="I484" s="14">
        <v>36.1</v>
      </c>
      <c r="J484" s="9">
        <v>63.3</v>
      </c>
      <c r="K484" s="14">
        <v>75.4</v>
      </c>
      <c r="L484" s="14">
        <v>87.9</v>
      </c>
      <c r="M484" s="14">
        <v>82.0</v>
      </c>
    </row>
    <row r="485" ht="14.25" customHeight="1">
      <c r="A485" s="15">
        <v>597.0</v>
      </c>
      <c r="B485" s="13" t="s">
        <v>61</v>
      </c>
      <c r="C485" s="9">
        <v>48.9</v>
      </c>
      <c r="D485" s="14">
        <v>38.5</v>
      </c>
      <c r="E485" s="14">
        <v>75.4</v>
      </c>
      <c r="F485" s="14">
        <v>71.0</v>
      </c>
      <c r="G485" s="14">
        <v>88.0</v>
      </c>
      <c r="H485" s="14">
        <v>53.7</v>
      </c>
      <c r="I485" s="14">
        <v>40.0</v>
      </c>
      <c r="J485" s="9">
        <v>68.4</v>
      </c>
      <c r="K485" s="14">
        <v>85.6</v>
      </c>
      <c r="L485" s="14">
        <v>96.0</v>
      </c>
      <c r="M485" s="14">
        <v>88.9</v>
      </c>
    </row>
    <row r="486" ht="14.25" customHeight="1">
      <c r="A486" s="15">
        <v>598.0</v>
      </c>
      <c r="B486" s="13" t="s">
        <v>61</v>
      </c>
      <c r="C486" s="9">
        <v>48.3</v>
      </c>
      <c r="D486" s="14">
        <v>38.7</v>
      </c>
      <c r="E486" s="14">
        <v>73.1</v>
      </c>
      <c r="F486" s="14">
        <v>67.5</v>
      </c>
      <c r="G486" s="14">
        <v>84.9</v>
      </c>
      <c r="H486" s="14">
        <v>50.2</v>
      </c>
      <c r="I486" s="14">
        <v>39.0</v>
      </c>
      <c r="J486" s="9">
        <v>66.8</v>
      </c>
      <c r="K486" s="14">
        <v>81.3</v>
      </c>
      <c r="L486" s="14">
        <v>92.8</v>
      </c>
      <c r="M486" s="14">
        <v>85.2</v>
      </c>
    </row>
    <row r="487" ht="14.25" customHeight="1">
      <c r="A487" s="15">
        <v>599.0</v>
      </c>
      <c r="B487" s="13" t="s">
        <v>61</v>
      </c>
      <c r="C487" s="9">
        <v>44.0</v>
      </c>
      <c r="D487" s="14">
        <v>34.1</v>
      </c>
      <c r="E487" s="14">
        <v>65.4</v>
      </c>
      <c r="F487" s="14">
        <v>64.1</v>
      </c>
      <c r="G487" s="14">
        <v>80.9</v>
      </c>
      <c r="H487" s="14">
        <v>49.0</v>
      </c>
      <c r="I487" s="14">
        <v>37.7</v>
      </c>
      <c r="J487" s="9">
        <v>66.0</v>
      </c>
      <c r="K487" s="14">
        <v>78.1</v>
      </c>
      <c r="L487" s="14">
        <v>88.0</v>
      </c>
      <c r="M487" s="14">
        <v>82.1</v>
      </c>
    </row>
    <row r="488" ht="14.25" customHeight="1">
      <c r="A488" s="15">
        <v>600.0</v>
      </c>
      <c r="B488" s="13" t="s">
        <v>61</v>
      </c>
      <c r="C488" s="9">
        <v>43.2</v>
      </c>
      <c r="D488" s="14">
        <v>36.6</v>
      </c>
      <c r="E488" s="14">
        <v>69.0</v>
      </c>
      <c r="F488" s="14">
        <v>64.0</v>
      </c>
      <c r="G488" s="14">
        <v>80.2</v>
      </c>
      <c r="H488" s="14">
        <v>49.3</v>
      </c>
      <c r="I488" s="14">
        <v>38.6</v>
      </c>
      <c r="J488" s="9">
        <v>64.3</v>
      </c>
      <c r="K488" s="14">
        <v>76.5</v>
      </c>
      <c r="L488" s="14">
        <v>87.3</v>
      </c>
      <c r="M488" s="14">
        <v>80.7</v>
      </c>
    </row>
    <row r="489" ht="14.25" customHeight="1">
      <c r="A489" s="15">
        <v>601.0</v>
      </c>
      <c r="B489" s="13" t="s">
        <v>61</v>
      </c>
      <c r="C489" s="9">
        <v>45.1</v>
      </c>
      <c r="D489" s="14">
        <v>38.2</v>
      </c>
      <c r="E489" s="14">
        <v>69.1</v>
      </c>
      <c r="F489" s="14">
        <v>66.7</v>
      </c>
      <c r="G489" s="14">
        <v>82.2</v>
      </c>
      <c r="H489" s="14">
        <v>49.9</v>
      </c>
      <c r="I489" s="14">
        <v>38.6</v>
      </c>
      <c r="J489" s="9">
        <v>67.1</v>
      </c>
      <c r="K489" s="14">
        <v>80.9</v>
      </c>
      <c r="L489" s="14">
        <v>92.9</v>
      </c>
      <c r="M489" s="14">
        <v>85.4</v>
      </c>
    </row>
    <row r="490" ht="14.25" customHeight="1">
      <c r="A490" s="15">
        <v>602.0</v>
      </c>
      <c r="B490" s="13" t="s">
        <v>61</v>
      </c>
      <c r="C490" s="9">
        <v>45.5</v>
      </c>
      <c r="D490" s="14">
        <v>35.4</v>
      </c>
      <c r="E490" s="14">
        <v>65.4</v>
      </c>
      <c r="F490" s="14">
        <v>63.1</v>
      </c>
      <c r="G490" s="14">
        <v>79.2</v>
      </c>
      <c r="H490" s="14">
        <v>48.1</v>
      </c>
      <c r="I490" s="14">
        <v>36.3</v>
      </c>
      <c r="J490" s="9">
        <v>62.5</v>
      </c>
      <c r="K490" s="14">
        <v>78.6</v>
      </c>
      <c r="L490" s="14">
        <v>90.3</v>
      </c>
      <c r="M490" s="14">
        <v>83.6</v>
      </c>
    </row>
    <row r="491" ht="14.25" customHeight="1">
      <c r="A491" s="15">
        <v>603.0</v>
      </c>
      <c r="B491" s="13" t="s">
        <v>61</v>
      </c>
      <c r="C491" s="9">
        <v>41.9</v>
      </c>
      <c r="D491" s="14">
        <v>33.0</v>
      </c>
      <c r="E491" s="14">
        <v>60.1</v>
      </c>
      <c r="F491" s="14">
        <v>58.9</v>
      </c>
      <c r="G491" s="14">
        <v>73.7</v>
      </c>
      <c r="H491" s="14">
        <v>45.5</v>
      </c>
      <c r="I491" s="14">
        <v>35.2</v>
      </c>
      <c r="J491" s="9">
        <v>60.21193495459703</v>
      </c>
      <c r="K491" s="14">
        <v>70.2</v>
      </c>
      <c r="L491" s="14">
        <v>79.0</v>
      </c>
      <c r="M491" s="14">
        <v>72.6</v>
      </c>
    </row>
    <row r="492" ht="14.25" customHeight="1">
      <c r="A492" s="15">
        <v>604.0</v>
      </c>
      <c r="B492" s="13" t="s">
        <v>61</v>
      </c>
      <c r="C492" s="9">
        <v>49.7</v>
      </c>
      <c r="D492" s="14">
        <v>36.3</v>
      </c>
      <c r="E492" s="14">
        <v>69.6</v>
      </c>
      <c r="F492" s="14">
        <v>67.3</v>
      </c>
      <c r="G492" s="14">
        <v>85.7</v>
      </c>
      <c r="H492" s="14">
        <v>51.7</v>
      </c>
      <c r="I492" s="14">
        <v>39.4</v>
      </c>
      <c r="J492" s="9">
        <v>70.5</v>
      </c>
      <c r="K492" s="14">
        <v>83.3</v>
      </c>
      <c r="L492" s="14">
        <v>93.7</v>
      </c>
      <c r="M492" s="14">
        <v>86.5</v>
      </c>
    </row>
    <row r="493" ht="14.25" customHeight="1">
      <c r="A493" s="15">
        <v>605.0</v>
      </c>
      <c r="B493" s="13" t="s">
        <v>61</v>
      </c>
      <c r="C493" s="9">
        <v>43.7</v>
      </c>
      <c r="D493" s="14">
        <v>33.2</v>
      </c>
      <c r="E493" s="14">
        <v>60.8</v>
      </c>
      <c r="F493" s="14">
        <v>57.7</v>
      </c>
      <c r="G493" s="14">
        <v>71.3</v>
      </c>
      <c r="H493" s="14">
        <v>44.2</v>
      </c>
      <c r="I493" s="14">
        <v>36.0</v>
      </c>
      <c r="J493" s="9">
        <v>60.0</v>
      </c>
      <c r="K493" s="14">
        <v>69.3</v>
      </c>
      <c r="L493" s="14">
        <v>78.2</v>
      </c>
      <c r="M493" s="14">
        <v>72.1</v>
      </c>
    </row>
    <row r="494" ht="14.25" customHeight="1">
      <c r="A494" s="15">
        <v>606.0</v>
      </c>
      <c r="B494" s="13" t="s">
        <v>61</v>
      </c>
      <c r="C494" s="9">
        <v>47.4</v>
      </c>
      <c r="D494" s="14">
        <v>38.2</v>
      </c>
      <c r="E494" s="14">
        <v>71.4</v>
      </c>
      <c r="F494" s="14">
        <v>66.6</v>
      </c>
      <c r="G494" s="14">
        <v>83.49678306307003</v>
      </c>
      <c r="H494" s="14">
        <v>50.40830206244079</v>
      </c>
      <c r="I494" s="14">
        <v>38.99052864435183</v>
      </c>
      <c r="J494" s="9">
        <v>67.06832103979961</v>
      </c>
      <c r="K494" s="14">
        <v>80.60078746400121</v>
      </c>
      <c r="L494" s="14">
        <v>91.77355963516028</v>
      </c>
      <c r="M494" s="14">
        <v>84.44452369494171</v>
      </c>
    </row>
    <row r="495" ht="14.25" customHeight="1">
      <c r="A495" s="15">
        <v>607.0</v>
      </c>
      <c r="B495" s="13" t="s">
        <v>61</v>
      </c>
      <c r="C495" s="9">
        <v>47.9</v>
      </c>
      <c r="D495" s="14">
        <v>37.0</v>
      </c>
      <c r="E495" s="14">
        <v>73.6</v>
      </c>
      <c r="F495" s="14">
        <v>67.7</v>
      </c>
      <c r="G495" s="14">
        <v>85.92752804263786</v>
      </c>
      <c r="H495" s="14">
        <v>51.21721912901016</v>
      </c>
      <c r="I495" s="14">
        <v>38.44108608046956</v>
      </c>
      <c r="J495" s="9">
        <v>66.69452952375254</v>
      </c>
      <c r="K495" s="14">
        <v>83.12299747021407</v>
      </c>
      <c r="L495" s="14">
        <v>93.84731712831412</v>
      </c>
      <c r="M495" s="14">
        <v>86.20946991504469</v>
      </c>
    </row>
    <row r="496" ht="14.25" customHeight="1">
      <c r="A496" s="15">
        <v>608.0</v>
      </c>
      <c r="B496" s="13" t="s">
        <v>61</v>
      </c>
      <c r="C496" s="9">
        <v>49.1</v>
      </c>
      <c r="D496" s="14">
        <v>37.1</v>
      </c>
      <c r="E496" s="14">
        <v>70.4</v>
      </c>
      <c r="F496" s="14">
        <v>67.7</v>
      </c>
      <c r="G496" s="14">
        <v>85.40366677385673</v>
      </c>
      <c r="H496" s="14">
        <v>51.32421669065278</v>
      </c>
      <c r="I496" s="14">
        <v>38.65038018593813</v>
      </c>
      <c r="J496" s="9">
        <v>67.1169490844413</v>
      </c>
      <c r="K496" s="14">
        <v>82.75686863970759</v>
      </c>
      <c r="L496" s="14">
        <v>93.65278531474807</v>
      </c>
      <c r="M496" s="14">
        <v>86.18424575602393</v>
      </c>
    </row>
    <row r="497" ht="14.25" customHeight="1">
      <c r="A497" s="15">
        <v>609.0</v>
      </c>
      <c r="B497" s="13" t="s">
        <v>61</v>
      </c>
      <c r="C497" s="9">
        <v>42.6</v>
      </c>
      <c r="D497" s="14">
        <v>34.4</v>
      </c>
      <c r="E497" s="14">
        <v>66.7</v>
      </c>
      <c r="F497" s="14">
        <v>59.5</v>
      </c>
      <c r="G497" s="14">
        <v>74.92070201727512</v>
      </c>
      <c r="H497" s="14">
        <v>45.61765014928976</v>
      </c>
      <c r="I497" s="14">
        <v>36.39465965177281</v>
      </c>
      <c r="J497" s="9">
        <v>61.9263836004246</v>
      </c>
      <c r="K497" s="14">
        <v>71.55994496671666</v>
      </c>
      <c r="L497" s="14">
        <v>81.33274740919646</v>
      </c>
      <c r="M497" s="14">
        <v>74.83242019100483</v>
      </c>
    </row>
    <row r="498" ht="14.25" customHeight="1">
      <c r="A498" s="15">
        <v>610.0</v>
      </c>
      <c r="B498" s="13" t="s">
        <v>61</v>
      </c>
      <c r="C498" s="9">
        <v>46.8</v>
      </c>
      <c r="D498" s="14">
        <v>37.9</v>
      </c>
      <c r="E498" s="14">
        <v>69.7</v>
      </c>
      <c r="F498" s="14">
        <v>64.2</v>
      </c>
      <c r="G498" s="14">
        <v>80.20506248849192</v>
      </c>
      <c r="H498" s="14">
        <v>48.67215920189052</v>
      </c>
      <c r="I498" s="14">
        <v>38.478271658592206</v>
      </c>
      <c r="J498" s="9">
        <v>65.62010514179543</v>
      </c>
      <c r="K498" s="14">
        <v>77.1382674167637</v>
      </c>
      <c r="L498" s="14">
        <v>87.88298485145971</v>
      </c>
      <c r="M498" s="14">
        <v>80.8097973448598</v>
      </c>
    </row>
    <row r="499" ht="14.25" customHeight="1">
      <c r="A499" s="15">
        <v>611.0</v>
      </c>
      <c r="B499" s="13" t="s">
        <v>61</v>
      </c>
      <c r="C499" s="9">
        <v>43.2</v>
      </c>
      <c r="D499" s="14">
        <v>34.2</v>
      </c>
      <c r="E499" s="14">
        <v>68.2</v>
      </c>
      <c r="F499" s="14">
        <v>59.9</v>
      </c>
      <c r="G499" s="14">
        <v>75.86094148966704</v>
      </c>
      <c r="H499" s="14">
        <v>45.83646300625896</v>
      </c>
      <c r="I499" s="14">
        <v>36.198077849072746</v>
      </c>
      <c r="J499" s="9">
        <v>61.67011289015739</v>
      </c>
      <c r="K499" s="14">
        <v>72.50582764875107</v>
      </c>
      <c r="L499" s="14">
        <v>81.98186662384816</v>
      </c>
      <c r="M499" s="14">
        <v>75.29209859928545</v>
      </c>
    </row>
    <row r="500" ht="14.25" customHeight="1">
      <c r="A500" s="15">
        <v>612.0</v>
      </c>
      <c r="B500" s="13" t="s">
        <v>61</v>
      </c>
      <c r="C500" s="9">
        <v>50.6</v>
      </c>
      <c r="D500" s="14">
        <v>38.9</v>
      </c>
      <c r="E500" s="14">
        <v>73.6</v>
      </c>
      <c r="F500" s="14">
        <v>69.5</v>
      </c>
      <c r="G500" s="14">
        <v>88.1</v>
      </c>
      <c r="H500" s="14">
        <v>52.5</v>
      </c>
      <c r="I500" s="14">
        <v>40.0</v>
      </c>
      <c r="J500" s="9">
        <v>68.2</v>
      </c>
      <c r="K500" s="14">
        <v>84.0</v>
      </c>
      <c r="L500" s="14">
        <v>95.9</v>
      </c>
      <c r="M500" s="14">
        <v>88.5</v>
      </c>
    </row>
    <row r="501" ht="14.25" customHeight="1">
      <c r="A501" s="15">
        <v>613.0</v>
      </c>
      <c r="B501" s="13" t="s">
        <v>61</v>
      </c>
      <c r="C501" s="9">
        <v>43.4</v>
      </c>
      <c r="D501" s="14">
        <v>33.8</v>
      </c>
      <c r="E501" s="14">
        <v>64.4</v>
      </c>
      <c r="F501" s="14">
        <v>58.1</v>
      </c>
      <c r="G501" s="14">
        <v>72.2</v>
      </c>
      <c r="H501" s="14">
        <v>43.9</v>
      </c>
      <c r="I501" s="14">
        <v>36.07126368296086</v>
      </c>
      <c r="J501" s="9">
        <v>62.599823179853786</v>
      </c>
      <c r="K501" s="14">
        <v>70.0</v>
      </c>
      <c r="L501" s="14">
        <v>77.7</v>
      </c>
      <c r="M501" s="14">
        <v>71.9</v>
      </c>
    </row>
    <row r="502" ht="14.25" customHeight="1">
      <c r="A502" s="15">
        <v>614.0</v>
      </c>
      <c r="B502" s="13" t="s">
        <v>61</v>
      </c>
      <c r="C502" s="9">
        <v>48.5</v>
      </c>
      <c r="D502" s="14">
        <v>39.4</v>
      </c>
      <c r="E502" s="14">
        <v>71.8</v>
      </c>
      <c r="F502" s="14">
        <v>68.8</v>
      </c>
      <c r="G502" s="14">
        <v>87.1</v>
      </c>
      <c r="H502" s="14">
        <v>51.7</v>
      </c>
      <c r="I502" s="14">
        <v>39.7</v>
      </c>
      <c r="J502" s="9">
        <v>69.0</v>
      </c>
      <c r="K502" s="14">
        <v>83.2</v>
      </c>
      <c r="L502" s="14">
        <v>95.3</v>
      </c>
      <c r="M502" s="14">
        <v>87.9</v>
      </c>
    </row>
    <row r="503" ht="14.25" customHeight="1">
      <c r="A503" s="15">
        <v>615.0</v>
      </c>
      <c r="B503" s="13" t="s">
        <v>61</v>
      </c>
      <c r="C503" s="9">
        <v>46.7</v>
      </c>
      <c r="D503" s="14">
        <v>35.8</v>
      </c>
      <c r="E503" s="14">
        <v>71.0</v>
      </c>
      <c r="F503" s="14">
        <v>66.8</v>
      </c>
      <c r="G503" s="14">
        <v>84.9</v>
      </c>
      <c r="H503" s="14">
        <v>50.7</v>
      </c>
      <c r="I503" s="14">
        <v>37.1</v>
      </c>
      <c r="J503" s="9">
        <v>68.2</v>
      </c>
      <c r="K503" s="14">
        <v>83.1</v>
      </c>
      <c r="L503" s="14">
        <v>91.9</v>
      </c>
      <c r="M503" s="14">
        <v>85.1</v>
      </c>
    </row>
    <row r="504" ht="14.25" customHeight="1">
      <c r="A504" s="15">
        <v>692.0</v>
      </c>
      <c r="B504" s="13" t="s">
        <v>32</v>
      </c>
      <c r="C504" s="9">
        <v>34.0</v>
      </c>
      <c r="D504" s="14">
        <v>28.0</v>
      </c>
      <c r="E504" s="14">
        <v>47.3</v>
      </c>
      <c r="F504" s="14">
        <v>50.2</v>
      </c>
      <c r="G504" s="14">
        <v>67.5</v>
      </c>
      <c r="H504" s="14">
        <v>56.3</v>
      </c>
      <c r="I504" s="14">
        <v>27.4</v>
      </c>
      <c r="J504" s="9">
        <v>49.0</v>
      </c>
      <c r="K504" s="14">
        <v>54.9</v>
      </c>
      <c r="L504" s="14">
        <v>66.5</v>
      </c>
      <c r="M504" s="14">
        <v>61.1</v>
      </c>
    </row>
    <row r="505" ht="14.25" customHeight="1">
      <c r="A505" s="15">
        <v>693.0</v>
      </c>
      <c r="B505" s="13" t="s">
        <v>32</v>
      </c>
      <c r="C505" s="9">
        <v>26.9</v>
      </c>
      <c r="D505" s="14">
        <v>22.7</v>
      </c>
      <c r="E505" s="14">
        <v>43.1</v>
      </c>
      <c r="F505" s="14">
        <v>43.5</v>
      </c>
      <c r="G505" s="14">
        <v>60.0</v>
      </c>
      <c r="H505" s="14">
        <v>53.3</v>
      </c>
      <c r="I505" s="14">
        <v>24.4</v>
      </c>
      <c r="J505" s="9">
        <v>42.1</v>
      </c>
      <c r="K505" s="14">
        <v>48.9</v>
      </c>
      <c r="L505" s="14">
        <v>59.1</v>
      </c>
      <c r="M505" s="14">
        <v>54.8</v>
      </c>
    </row>
    <row r="506" ht="14.25" customHeight="1">
      <c r="A506" s="15">
        <v>694.0</v>
      </c>
      <c r="B506" s="13" t="s">
        <v>32</v>
      </c>
      <c r="C506" s="9">
        <v>35.7</v>
      </c>
      <c r="D506" s="14">
        <v>27.2</v>
      </c>
      <c r="E506" s="14">
        <v>50.9</v>
      </c>
      <c r="F506" s="14">
        <v>52.1</v>
      </c>
      <c r="G506" s="14">
        <v>72.1</v>
      </c>
      <c r="H506" s="14">
        <v>61.0</v>
      </c>
      <c r="I506" s="14">
        <v>28.1</v>
      </c>
      <c r="J506" s="9">
        <v>48.9</v>
      </c>
      <c r="K506" s="14">
        <v>59.3</v>
      </c>
      <c r="L506" s="14">
        <v>70.6</v>
      </c>
      <c r="M506" s="14">
        <v>65.6</v>
      </c>
    </row>
    <row r="507" ht="14.25" customHeight="1">
      <c r="A507" s="15">
        <v>695.0</v>
      </c>
      <c r="B507" s="13" t="s">
        <v>32</v>
      </c>
      <c r="C507" s="9">
        <v>35.3</v>
      </c>
      <c r="D507" s="14">
        <v>26.7</v>
      </c>
      <c r="E507" s="14">
        <v>52.1</v>
      </c>
      <c r="F507" s="14">
        <v>50.2</v>
      </c>
      <c r="G507" s="14">
        <v>67.2</v>
      </c>
      <c r="H507" s="14">
        <v>58.3</v>
      </c>
      <c r="I507" s="14">
        <v>27.5</v>
      </c>
      <c r="J507" s="9">
        <v>46.8</v>
      </c>
      <c r="K507" s="14">
        <v>57.3</v>
      </c>
      <c r="L507" s="14">
        <v>67.3</v>
      </c>
      <c r="M507" s="14">
        <v>61.7</v>
      </c>
    </row>
    <row r="508" ht="14.25" customHeight="1">
      <c r="A508" s="15">
        <v>696.0</v>
      </c>
      <c r="B508" s="13" t="s">
        <v>32</v>
      </c>
      <c r="C508" s="9">
        <v>35.3</v>
      </c>
      <c r="D508" s="14">
        <v>28.0</v>
      </c>
      <c r="E508" s="14">
        <v>54.4</v>
      </c>
      <c r="F508" s="14">
        <v>53.8</v>
      </c>
      <c r="G508" s="14">
        <v>71.4</v>
      </c>
      <c r="H508" s="14">
        <v>61.8</v>
      </c>
      <c r="I508" s="14">
        <v>27.5</v>
      </c>
      <c r="J508" s="9">
        <v>52.0</v>
      </c>
      <c r="K508" s="14">
        <v>59.9</v>
      </c>
      <c r="L508" s="14">
        <v>70.7</v>
      </c>
      <c r="M508" s="14">
        <v>65.5</v>
      </c>
    </row>
    <row r="509" ht="14.25" customHeight="1">
      <c r="A509" s="15">
        <v>697.0</v>
      </c>
      <c r="B509" s="13" t="s">
        <v>32</v>
      </c>
      <c r="C509" s="9">
        <v>37.4</v>
      </c>
      <c r="D509" s="14">
        <v>28.8</v>
      </c>
      <c r="E509" s="14">
        <v>55.6</v>
      </c>
      <c r="F509" s="14">
        <v>55.2</v>
      </c>
      <c r="G509" s="14">
        <v>73.0</v>
      </c>
      <c r="H509" s="14">
        <v>64.8</v>
      </c>
      <c r="I509" s="14">
        <v>29.0</v>
      </c>
      <c r="J509" s="9">
        <v>49.8</v>
      </c>
      <c r="K509" s="14">
        <v>62.3</v>
      </c>
      <c r="L509" s="14">
        <v>72.5</v>
      </c>
      <c r="M509" s="14">
        <v>67.1</v>
      </c>
    </row>
    <row r="510" ht="14.25" customHeight="1">
      <c r="A510" s="15">
        <v>698.0</v>
      </c>
      <c r="B510" s="13" t="s">
        <v>32</v>
      </c>
      <c r="C510" s="9">
        <v>36.2</v>
      </c>
      <c r="D510" s="14">
        <v>28.2</v>
      </c>
      <c r="E510" s="14">
        <v>56.7</v>
      </c>
      <c r="F510" s="14">
        <v>52.7</v>
      </c>
      <c r="G510" s="14">
        <v>70.8</v>
      </c>
      <c r="H510" s="14">
        <v>60.0</v>
      </c>
      <c r="I510" s="14">
        <v>28.8</v>
      </c>
      <c r="J510" s="9">
        <v>49.5</v>
      </c>
      <c r="K510" s="14">
        <v>60.1</v>
      </c>
      <c r="L510" s="14">
        <v>71.2</v>
      </c>
      <c r="M510" s="14">
        <v>65.3</v>
      </c>
    </row>
    <row r="511" ht="14.25" customHeight="1">
      <c r="A511" s="15">
        <v>699.0</v>
      </c>
      <c r="B511" s="13" t="s">
        <v>32</v>
      </c>
      <c r="C511" s="9">
        <v>27.1</v>
      </c>
      <c r="D511" s="14">
        <v>23.1</v>
      </c>
      <c r="E511" s="14">
        <v>44.7</v>
      </c>
      <c r="F511" s="14">
        <v>44.7</v>
      </c>
      <c r="G511" s="14">
        <v>60.0</v>
      </c>
      <c r="H511" s="14">
        <v>53.7</v>
      </c>
      <c r="I511" s="14">
        <v>25.2</v>
      </c>
      <c r="J511" s="9">
        <v>43.1</v>
      </c>
      <c r="K511" s="14">
        <v>50.83763331489754</v>
      </c>
      <c r="L511" s="14">
        <v>59.7</v>
      </c>
      <c r="M511" s="14">
        <v>55.4</v>
      </c>
    </row>
    <row r="512" ht="14.25" customHeight="1">
      <c r="A512" s="15">
        <v>700.0</v>
      </c>
      <c r="B512" s="13" t="s">
        <v>32</v>
      </c>
      <c r="C512" s="9">
        <v>36.5</v>
      </c>
      <c r="D512" s="14">
        <v>26.7</v>
      </c>
      <c r="E512" s="14">
        <v>53.1</v>
      </c>
      <c r="F512" s="14">
        <v>52.3</v>
      </c>
      <c r="G512" s="14">
        <v>71.2</v>
      </c>
      <c r="H512" s="14">
        <v>60.0</v>
      </c>
      <c r="I512" s="14">
        <v>28.4</v>
      </c>
      <c r="J512" s="9">
        <v>46.5</v>
      </c>
      <c r="K512" s="14">
        <v>60.8</v>
      </c>
      <c r="L512" s="14">
        <v>72.6</v>
      </c>
      <c r="M512" s="14">
        <v>67.3</v>
      </c>
    </row>
    <row r="513" ht="14.25" customHeight="1">
      <c r="A513" s="15">
        <v>701.0</v>
      </c>
      <c r="B513" s="13" t="s">
        <v>32</v>
      </c>
      <c r="C513" s="9">
        <v>36.2</v>
      </c>
      <c r="D513" s="14">
        <v>28.1</v>
      </c>
      <c r="E513" s="14">
        <v>50.2</v>
      </c>
      <c r="F513" s="14">
        <v>50.6</v>
      </c>
      <c r="G513" s="14">
        <v>70.0</v>
      </c>
      <c r="H513" s="14">
        <v>60.1</v>
      </c>
      <c r="I513" s="14">
        <v>27.8</v>
      </c>
      <c r="J513" s="9">
        <v>48.2</v>
      </c>
      <c r="K513" s="14">
        <v>58.1</v>
      </c>
      <c r="L513" s="14">
        <v>70.3</v>
      </c>
      <c r="M513" s="14">
        <v>64.7</v>
      </c>
    </row>
    <row r="514" ht="14.25" customHeight="1">
      <c r="A514" s="15">
        <v>702.0</v>
      </c>
      <c r="B514" s="13" t="s">
        <v>32</v>
      </c>
      <c r="C514" s="9">
        <v>28.2</v>
      </c>
      <c r="D514" s="14">
        <v>23.3</v>
      </c>
      <c r="E514" s="14">
        <v>44.4</v>
      </c>
      <c r="F514" s="14">
        <v>45.5</v>
      </c>
      <c r="G514" s="14">
        <v>60.2</v>
      </c>
      <c r="H514" s="14">
        <v>54.2</v>
      </c>
      <c r="I514" s="14">
        <v>25.3</v>
      </c>
      <c r="J514" s="9">
        <v>43.0</v>
      </c>
      <c r="K514" s="14">
        <v>49.3</v>
      </c>
      <c r="L514" s="14">
        <v>58.7</v>
      </c>
      <c r="M514" s="14">
        <v>54.4</v>
      </c>
    </row>
    <row r="515" ht="14.25" customHeight="1">
      <c r="A515" s="15">
        <v>703.0</v>
      </c>
      <c r="B515" s="13" t="s">
        <v>32</v>
      </c>
      <c r="C515" s="9">
        <v>34.6</v>
      </c>
      <c r="D515" s="14">
        <v>28.3</v>
      </c>
      <c r="E515" s="14">
        <v>53.1</v>
      </c>
      <c r="F515" s="14">
        <v>50.8</v>
      </c>
      <c r="G515" s="14">
        <v>68.4</v>
      </c>
      <c r="H515" s="14">
        <v>59.3</v>
      </c>
      <c r="I515" s="14">
        <v>27.4</v>
      </c>
      <c r="J515" s="9">
        <v>50.0</v>
      </c>
      <c r="K515" s="14">
        <v>57.7</v>
      </c>
      <c r="L515" s="14">
        <v>67.6</v>
      </c>
      <c r="M515" s="14">
        <v>62.0</v>
      </c>
    </row>
    <row r="516" ht="14.25" customHeight="1">
      <c r="A516" s="15">
        <v>704.0</v>
      </c>
      <c r="B516" s="13" t="s">
        <v>32</v>
      </c>
      <c r="C516" s="9">
        <v>35.5</v>
      </c>
      <c r="D516" s="14">
        <v>26.9</v>
      </c>
      <c r="E516" s="14">
        <v>55.3</v>
      </c>
      <c r="F516" s="14">
        <v>54.7</v>
      </c>
      <c r="G516" s="14">
        <v>72.8</v>
      </c>
      <c r="H516" s="14">
        <v>62.5</v>
      </c>
      <c r="I516" s="14">
        <v>28.6</v>
      </c>
      <c r="J516" s="9">
        <v>51.9</v>
      </c>
      <c r="K516" s="14">
        <v>62.0</v>
      </c>
      <c r="L516" s="14">
        <v>72.8</v>
      </c>
      <c r="M516" s="14">
        <v>67.4</v>
      </c>
    </row>
    <row r="517" ht="14.25" customHeight="1">
      <c r="A517" s="15">
        <v>705.0</v>
      </c>
      <c r="B517" s="13" t="s">
        <v>32</v>
      </c>
      <c r="C517" s="9">
        <v>35.1</v>
      </c>
      <c r="D517" s="14">
        <v>27.5</v>
      </c>
      <c r="E517" s="14">
        <v>53.3</v>
      </c>
      <c r="F517" s="14">
        <v>52.6</v>
      </c>
      <c r="G517" s="14">
        <v>71.2</v>
      </c>
      <c r="H517" s="14">
        <v>61.7</v>
      </c>
      <c r="I517" s="14">
        <v>28.6</v>
      </c>
      <c r="J517" s="9">
        <v>48.8</v>
      </c>
      <c r="K517" s="14">
        <v>60.4</v>
      </c>
      <c r="L517" s="14">
        <v>69.5</v>
      </c>
      <c r="M517" s="14">
        <v>64.4</v>
      </c>
    </row>
    <row r="518" ht="14.25" customHeight="1">
      <c r="A518" s="15">
        <v>706.0</v>
      </c>
      <c r="B518" s="13" t="s">
        <v>32</v>
      </c>
      <c r="C518" s="9">
        <v>28.7</v>
      </c>
      <c r="D518" s="14">
        <v>22.8</v>
      </c>
      <c r="E518" s="14">
        <v>42.4</v>
      </c>
      <c r="F518" s="14">
        <v>45.7</v>
      </c>
      <c r="G518" s="14">
        <v>61.9</v>
      </c>
      <c r="H518" s="14">
        <v>54.9</v>
      </c>
      <c r="I518" s="14">
        <v>25.7</v>
      </c>
      <c r="J518" s="9">
        <v>44.7</v>
      </c>
      <c r="K518" s="14">
        <v>55.5</v>
      </c>
      <c r="L518" s="14">
        <v>61.2</v>
      </c>
      <c r="M518" s="14">
        <v>56.0</v>
      </c>
    </row>
    <row r="519" ht="14.25" customHeight="1">
      <c r="A519" s="15">
        <v>707.0</v>
      </c>
      <c r="B519" s="13" t="s">
        <v>32</v>
      </c>
      <c r="C519" s="9">
        <v>33.6</v>
      </c>
      <c r="D519" s="14">
        <v>29.8</v>
      </c>
      <c r="E519" s="14">
        <v>54.6</v>
      </c>
      <c r="F519" s="14">
        <v>53.4</v>
      </c>
      <c r="G519" s="14">
        <v>73.2</v>
      </c>
      <c r="H519" s="14">
        <v>62.2</v>
      </c>
      <c r="I519" s="14">
        <v>28.4</v>
      </c>
      <c r="J519" s="9">
        <v>49.7</v>
      </c>
      <c r="K519" s="14">
        <v>62.1</v>
      </c>
      <c r="L519" s="14">
        <v>73.4</v>
      </c>
      <c r="M519" s="14">
        <v>67.6</v>
      </c>
    </row>
    <row r="520" ht="14.25" customHeight="1">
      <c r="A520" s="15">
        <v>708.0</v>
      </c>
      <c r="B520" s="13" t="s">
        <v>32</v>
      </c>
      <c r="C520" s="9">
        <v>35.5</v>
      </c>
      <c r="D520" s="14">
        <v>27.8</v>
      </c>
      <c r="E520" s="14">
        <v>55.0</v>
      </c>
      <c r="F520" s="14">
        <v>53.24431185465821</v>
      </c>
      <c r="G520" s="14">
        <v>70.8</v>
      </c>
      <c r="H520" s="14">
        <v>61.5</v>
      </c>
      <c r="I520" s="14">
        <v>27.4</v>
      </c>
      <c r="J520" s="9">
        <v>50.1</v>
      </c>
      <c r="K520" s="14">
        <v>60.3</v>
      </c>
      <c r="L520" s="14">
        <v>71.8</v>
      </c>
      <c r="M520" s="14">
        <v>66.4</v>
      </c>
    </row>
    <row r="521" ht="14.25" customHeight="1">
      <c r="A521" s="15">
        <v>709.0</v>
      </c>
      <c r="B521" s="13" t="s">
        <v>32</v>
      </c>
      <c r="C521" s="9">
        <v>30.1</v>
      </c>
      <c r="D521" s="14">
        <v>24.0</v>
      </c>
      <c r="E521" s="14">
        <v>43.5</v>
      </c>
      <c r="F521" s="14">
        <v>45.3</v>
      </c>
      <c r="G521" s="14">
        <v>61.2</v>
      </c>
      <c r="H521" s="14">
        <v>53.5</v>
      </c>
      <c r="I521" s="14">
        <v>24.7</v>
      </c>
      <c r="J521" s="9">
        <v>44.7</v>
      </c>
      <c r="K521" s="14">
        <v>51.2</v>
      </c>
      <c r="L521" s="14">
        <v>60.3</v>
      </c>
      <c r="M521" s="14">
        <v>55.7</v>
      </c>
    </row>
    <row r="522" ht="14.25" customHeight="1">
      <c r="A522" s="15">
        <v>710.0</v>
      </c>
      <c r="B522" s="13" t="s">
        <v>32</v>
      </c>
      <c r="C522" s="9">
        <v>35.1</v>
      </c>
      <c r="D522" s="14">
        <v>28.6</v>
      </c>
      <c r="E522" s="14">
        <v>51.1</v>
      </c>
      <c r="F522" s="14">
        <v>53.2</v>
      </c>
      <c r="G522" s="14">
        <v>72.6</v>
      </c>
      <c r="H522" s="14">
        <v>61.5</v>
      </c>
      <c r="I522" s="14">
        <v>27.3</v>
      </c>
      <c r="J522" s="9">
        <v>49.3</v>
      </c>
      <c r="K522" s="14">
        <v>58.9</v>
      </c>
      <c r="L522" s="14">
        <v>69.7</v>
      </c>
      <c r="M522" s="14">
        <v>64.3</v>
      </c>
    </row>
    <row r="523" ht="14.25" customHeight="1">
      <c r="A523" s="15">
        <v>711.0</v>
      </c>
      <c r="B523" s="13" t="s">
        <v>32</v>
      </c>
      <c r="C523" s="9">
        <v>35.6</v>
      </c>
      <c r="D523" s="14">
        <v>28.3</v>
      </c>
      <c r="E523" s="14">
        <v>52.3</v>
      </c>
      <c r="F523" s="14">
        <v>52.0</v>
      </c>
      <c r="G523" s="14">
        <v>70.5</v>
      </c>
      <c r="H523" s="14">
        <v>61.9</v>
      </c>
      <c r="I523" s="14">
        <v>27.4</v>
      </c>
      <c r="J523" s="9">
        <v>47.6</v>
      </c>
      <c r="K523" s="14">
        <v>59.8</v>
      </c>
      <c r="L523" s="14">
        <v>71.1</v>
      </c>
      <c r="M523" s="14">
        <v>65.8</v>
      </c>
    </row>
    <row r="524" ht="14.25" customHeight="1">
      <c r="A524" s="15">
        <v>712.0</v>
      </c>
      <c r="B524" s="13" t="s">
        <v>32</v>
      </c>
      <c r="C524" s="9">
        <v>34.4</v>
      </c>
      <c r="D524" s="14">
        <v>27.0</v>
      </c>
      <c r="E524" s="14">
        <v>50.5</v>
      </c>
      <c r="F524" s="14">
        <v>52.6</v>
      </c>
      <c r="G524" s="14">
        <v>72.7</v>
      </c>
      <c r="H524" s="14">
        <v>60.8</v>
      </c>
      <c r="I524" s="14">
        <v>27.4</v>
      </c>
      <c r="J524" s="9">
        <v>49.4</v>
      </c>
      <c r="K524" s="14">
        <v>59.8</v>
      </c>
      <c r="L524" s="14">
        <v>70.7</v>
      </c>
      <c r="M524" s="14">
        <v>65.6</v>
      </c>
    </row>
    <row r="525" ht="14.25" customHeight="1">
      <c r="A525" s="15">
        <v>713.0</v>
      </c>
      <c r="B525" s="13" t="s">
        <v>32</v>
      </c>
      <c r="C525" s="9">
        <v>30.0</v>
      </c>
      <c r="D525" s="14">
        <v>23.8</v>
      </c>
      <c r="E525" s="14">
        <v>46.1</v>
      </c>
      <c r="F525" s="14">
        <v>46.0</v>
      </c>
      <c r="G525" s="14">
        <v>62.2</v>
      </c>
      <c r="H525" s="14">
        <v>54.7</v>
      </c>
      <c r="I525" s="14">
        <v>25.5</v>
      </c>
      <c r="J525" s="9">
        <v>44.5</v>
      </c>
      <c r="K525" s="14">
        <v>51.6</v>
      </c>
      <c r="L525" s="14">
        <v>61.4</v>
      </c>
      <c r="M525" s="14">
        <v>56.7</v>
      </c>
    </row>
    <row r="526" ht="14.25" customHeight="1">
      <c r="A526" s="15">
        <v>714.0</v>
      </c>
      <c r="B526" s="13" t="s">
        <v>32</v>
      </c>
      <c r="C526" s="9">
        <v>31.1</v>
      </c>
      <c r="D526" s="14">
        <v>27.7</v>
      </c>
      <c r="E526" s="14">
        <v>54.4</v>
      </c>
      <c r="F526" s="14">
        <v>51.0</v>
      </c>
      <c r="G526" s="14">
        <v>70.0</v>
      </c>
      <c r="H526" s="14">
        <v>60.2</v>
      </c>
      <c r="I526" s="14">
        <v>28.2</v>
      </c>
      <c r="J526" s="9">
        <v>48.6</v>
      </c>
      <c r="K526" s="14">
        <v>59.4</v>
      </c>
      <c r="L526" s="14">
        <v>69.8</v>
      </c>
      <c r="M526" s="14">
        <v>65.0</v>
      </c>
    </row>
    <row r="527" ht="14.25" customHeight="1">
      <c r="A527" s="15">
        <v>715.0</v>
      </c>
      <c r="B527" s="13" t="s">
        <v>32</v>
      </c>
      <c r="C527" s="9">
        <v>34.6</v>
      </c>
      <c r="D527" s="14">
        <v>26.8</v>
      </c>
      <c r="E527" s="14">
        <v>52.0</v>
      </c>
      <c r="F527" s="14">
        <v>52.0</v>
      </c>
      <c r="G527" s="14">
        <v>69.7</v>
      </c>
      <c r="H527" s="14">
        <v>59.0</v>
      </c>
      <c r="I527" s="14">
        <v>27.7</v>
      </c>
      <c r="J527" s="9">
        <v>50.6</v>
      </c>
      <c r="K527" s="14">
        <v>58.9</v>
      </c>
      <c r="L527" s="14">
        <v>69.0</v>
      </c>
      <c r="M527" s="14">
        <v>63.8</v>
      </c>
    </row>
    <row r="528" ht="14.25" customHeight="1">
      <c r="A528" s="15">
        <v>716.0</v>
      </c>
      <c r="B528" s="13" t="s">
        <v>32</v>
      </c>
      <c r="C528" s="9">
        <v>36.2</v>
      </c>
      <c r="D528" s="14">
        <v>29.2</v>
      </c>
      <c r="E528" s="14">
        <v>52.3</v>
      </c>
      <c r="F528" s="14">
        <v>53.5</v>
      </c>
      <c r="G528" s="14">
        <v>72.6</v>
      </c>
      <c r="H528" s="14">
        <v>60.7</v>
      </c>
      <c r="I528" s="14">
        <v>27.9</v>
      </c>
      <c r="J528" s="9">
        <v>49.5</v>
      </c>
      <c r="K528" s="14">
        <v>61.3</v>
      </c>
      <c r="L528" s="14">
        <v>71.3</v>
      </c>
      <c r="M528" s="14">
        <v>66.1</v>
      </c>
    </row>
    <row r="529" ht="14.25" customHeight="1">
      <c r="A529" s="15">
        <v>717.0</v>
      </c>
      <c r="B529" s="13" t="s">
        <v>32</v>
      </c>
      <c r="C529" s="9">
        <v>27.8</v>
      </c>
      <c r="D529" s="14">
        <v>21.8</v>
      </c>
      <c r="E529" s="14">
        <v>41.4</v>
      </c>
      <c r="F529" s="14">
        <v>42.3</v>
      </c>
      <c r="G529" s="14">
        <v>56.8</v>
      </c>
      <c r="H529" s="14">
        <v>49.7</v>
      </c>
      <c r="I529" s="14">
        <v>24.0</v>
      </c>
      <c r="J529" s="9">
        <v>42.7</v>
      </c>
      <c r="K529" s="14">
        <v>48.2</v>
      </c>
      <c r="L529" s="14">
        <v>57.5</v>
      </c>
      <c r="M529" s="14">
        <v>53.0</v>
      </c>
    </row>
    <row r="530" ht="14.25" customHeight="1">
      <c r="A530" s="15">
        <v>718.0</v>
      </c>
      <c r="B530" s="13" t="s">
        <v>32</v>
      </c>
      <c r="C530" s="9">
        <v>35.2</v>
      </c>
      <c r="D530" s="14">
        <v>27.1</v>
      </c>
      <c r="E530" s="14">
        <v>53.7</v>
      </c>
      <c r="F530" s="14">
        <v>53.1</v>
      </c>
      <c r="G530" s="14">
        <v>72.6</v>
      </c>
      <c r="H530" s="14">
        <v>60.2</v>
      </c>
      <c r="I530" s="14">
        <v>26.8</v>
      </c>
      <c r="J530" s="9">
        <v>46.6</v>
      </c>
      <c r="K530" s="14">
        <v>49.5</v>
      </c>
      <c r="L530" s="14">
        <v>70.7</v>
      </c>
      <c r="M530" s="14">
        <v>65.1</v>
      </c>
    </row>
    <row r="531" ht="14.25" customHeight="1">
      <c r="A531" s="15">
        <v>719.0</v>
      </c>
      <c r="B531" s="13" t="s">
        <v>32</v>
      </c>
      <c r="C531" s="9">
        <v>35.7</v>
      </c>
      <c r="D531" s="14">
        <v>28.2</v>
      </c>
      <c r="E531" s="14">
        <v>55.0</v>
      </c>
      <c r="F531" s="14">
        <v>52.9</v>
      </c>
      <c r="G531" s="14">
        <v>72.1</v>
      </c>
      <c r="H531" s="14">
        <v>59.3</v>
      </c>
      <c r="I531" s="14">
        <v>28.5</v>
      </c>
      <c r="J531" s="9">
        <v>49.8</v>
      </c>
      <c r="K531" s="14">
        <v>61.0</v>
      </c>
      <c r="L531" s="14">
        <v>70.0</v>
      </c>
      <c r="M531" s="14">
        <v>64.9</v>
      </c>
    </row>
    <row r="532" ht="14.25" customHeight="1">
      <c r="A532" s="15">
        <v>720.0</v>
      </c>
      <c r="B532" s="13" t="s">
        <v>32</v>
      </c>
      <c r="C532" s="9">
        <v>34.9</v>
      </c>
      <c r="D532" s="14">
        <v>26.4</v>
      </c>
      <c r="E532" s="14">
        <v>53.1</v>
      </c>
      <c r="F532" s="14">
        <v>54.6</v>
      </c>
      <c r="G532" s="14">
        <v>72.8</v>
      </c>
      <c r="H532" s="14">
        <v>62.2</v>
      </c>
      <c r="I532" s="14">
        <v>27.3</v>
      </c>
      <c r="J532" s="9">
        <v>48.6</v>
      </c>
      <c r="K532" s="14">
        <v>60.0</v>
      </c>
      <c r="L532" s="14">
        <v>71.6</v>
      </c>
      <c r="M532" s="14">
        <v>65.4</v>
      </c>
    </row>
    <row r="533" ht="14.25" customHeight="1">
      <c r="A533" s="15">
        <v>721.0</v>
      </c>
      <c r="B533" s="13" t="s">
        <v>32</v>
      </c>
      <c r="C533" s="9">
        <v>30.1</v>
      </c>
      <c r="D533" s="14">
        <v>22.3</v>
      </c>
      <c r="E533" s="14">
        <v>42.6</v>
      </c>
      <c r="F533" s="14">
        <v>44.4</v>
      </c>
      <c r="G533" s="14">
        <v>59.4</v>
      </c>
      <c r="H533" s="14">
        <v>53.0</v>
      </c>
      <c r="I533" s="14">
        <v>24.5</v>
      </c>
      <c r="J533" s="9">
        <v>43.3</v>
      </c>
      <c r="K533" s="14">
        <v>49.2</v>
      </c>
      <c r="L533" s="14">
        <v>58.6</v>
      </c>
      <c r="M533" s="14">
        <v>54.2</v>
      </c>
    </row>
    <row r="534" ht="14.25" customHeight="1">
      <c r="A534" s="15">
        <v>722.0</v>
      </c>
      <c r="B534" s="13" t="s">
        <v>32</v>
      </c>
      <c r="C534" s="9">
        <v>27.7</v>
      </c>
      <c r="D534" s="14">
        <v>23.4</v>
      </c>
      <c r="E534" s="14">
        <v>46.0</v>
      </c>
      <c r="F534" s="14">
        <v>46.7</v>
      </c>
      <c r="G534" s="14">
        <v>61.0</v>
      </c>
      <c r="H534" s="14">
        <v>54.6</v>
      </c>
      <c r="I534" s="14">
        <v>25.5</v>
      </c>
      <c r="J534" s="9">
        <v>45.6</v>
      </c>
      <c r="K534" s="14">
        <v>50.8</v>
      </c>
      <c r="L534" s="14">
        <v>60.9</v>
      </c>
      <c r="M534" s="14">
        <v>56.6</v>
      </c>
    </row>
    <row r="535" ht="14.25" customHeight="1">
      <c r="A535" s="15">
        <v>723.0</v>
      </c>
      <c r="B535" s="13" t="s">
        <v>32</v>
      </c>
      <c r="C535" s="9">
        <v>32.0</v>
      </c>
      <c r="D535" s="14">
        <v>28.2</v>
      </c>
      <c r="E535" s="14">
        <v>53.1</v>
      </c>
      <c r="F535" s="14">
        <v>53.1</v>
      </c>
      <c r="G535" s="14">
        <v>72.7</v>
      </c>
      <c r="H535" s="14">
        <v>60.9</v>
      </c>
      <c r="I535" s="14">
        <v>26.7</v>
      </c>
      <c r="J535" s="9">
        <v>49.2</v>
      </c>
      <c r="K535" s="14">
        <v>61.6</v>
      </c>
      <c r="L535" s="14">
        <v>72.0</v>
      </c>
      <c r="M535" s="14">
        <v>66.5</v>
      </c>
    </row>
    <row r="536" ht="14.25" customHeight="1">
      <c r="A536" s="15">
        <v>724.0</v>
      </c>
      <c r="B536" s="13" t="s">
        <v>32</v>
      </c>
      <c r="C536" s="9">
        <v>33.5</v>
      </c>
      <c r="D536" s="14">
        <v>26.0</v>
      </c>
      <c r="E536" s="14">
        <v>50.7</v>
      </c>
      <c r="F536" s="14">
        <v>51.6</v>
      </c>
      <c r="G536" s="14">
        <v>67.7</v>
      </c>
      <c r="H536" s="14">
        <v>58.5</v>
      </c>
      <c r="I536" s="14">
        <v>27.2</v>
      </c>
      <c r="J536" s="9">
        <v>47.3</v>
      </c>
      <c r="K536" s="14">
        <v>58.4</v>
      </c>
      <c r="L536" s="14">
        <v>67.51070237731216</v>
      </c>
      <c r="M536" s="14">
        <v>62.08028977950167</v>
      </c>
    </row>
    <row r="537" ht="14.25" customHeight="1">
      <c r="A537" s="15">
        <v>725.0</v>
      </c>
      <c r="B537" s="13" t="s">
        <v>32</v>
      </c>
      <c r="C537" s="9">
        <v>34.7</v>
      </c>
      <c r="D537" s="14">
        <v>27.1</v>
      </c>
      <c r="E537" s="14">
        <v>52.2</v>
      </c>
      <c r="F537" s="14">
        <v>51.7</v>
      </c>
      <c r="G537" s="14">
        <v>70.3</v>
      </c>
      <c r="H537" s="14">
        <v>58.7</v>
      </c>
      <c r="I537" s="14">
        <v>27.9</v>
      </c>
      <c r="J537" s="9">
        <v>49.1</v>
      </c>
      <c r="K537" s="14">
        <v>59.5</v>
      </c>
      <c r="L537" s="14">
        <v>69.7</v>
      </c>
      <c r="M537" s="14">
        <v>62.1</v>
      </c>
    </row>
    <row r="538" ht="14.25" customHeight="1">
      <c r="A538" s="15">
        <v>190.0</v>
      </c>
      <c r="B538" s="13" t="s">
        <v>62</v>
      </c>
      <c r="C538" s="9">
        <v>81.8</v>
      </c>
      <c r="D538" s="14">
        <v>52.6</v>
      </c>
      <c r="E538" s="14">
        <v>109.8</v>
      </c>
      <c r="F538" s="14">
        <v>112.1</v>
      </c>
      <c r="G538" s="14">
        <v>146.3</v>
      </c>
      <c r="H538" s="14">
        <v>93.4</v>
      </c>
      <c r="I538" s="14">
        <v>61.0</v>
      </c>
      <c r="J538" s="9">
        <v>107.5</v>
      </c>
      <c r="K538" s="14">
        <v>176.7</v>
      </c>
      <c r="L538" s="14">
        <v>204.3</v>
      </c>
      <c r="M538" s="14">
        <v>194.0</v>
      </c>
    </row>
    <row r="539" ht="14.25" customHeight="1">
      <c r="A539" s="15">
        <v>191.0</v>
      </c>
      <c r="B539" s="13" t="s">
        <v>62</v>
      </c>
      <c r="C539" s="9">
        <v>87.2</v>
      </c>
      <c r="D539" s="14">
        <v>55.4</v>
      </c>
      <c r="E539" s="14">
        <v>113.3</v>
      </c>
      <c r="F539" s="14">
        <v>110.9</v>
      </c>
      <c r="G539" s="14">
        <v>152.7</v>
      </c>
      <c r="H539" s="14">
        <v>94.8</v>
      </c>
      <c r="I539" s="14">
        <v>62.5</v>
      </c>
      <c r="J539" s="9">
        <v>110.0</v>
      </c>
      <c r="K539" s="14">
        <v>187.0</v>
      </c>
      <c r="L539" s="14">
        <v>221.1</v>
      </c>
      <c r="M539" s="14">
        <v>210.2</v>
      </c>
    </row>
    <row r="540" ht="14.25" customHeight="1">
      <c r="A540" s="15">
        <v>192.0</v>
      </c>
      <c r="B540" s="13" t="s">
        <v>62</v>
      </c>
      <c r="C540" s="9">
        <v>91.2</v>
      </c>
      <c r="D540" s="14">
        <v>55.6</v>
      </c>
      <c r="E540" s="14">
        <v>120.6</v>
      </c>
      <c r="F540" s="14">
        <v>109.6</v>
      </c>
      <c r="G540" s="14">
        <v>153.4</v>
      </c>
      <c r="H540" s="14">
        <v>95.4</v>
      </c>
      <c r="I540" s="14">
        <v>63.7</v>
      </c>
      <c r="J540" s="9">
        <v>114.0</v>
      </c>
      <c r="K540" s="14">
        <v>192.0</v>
      </c>
      <c r="L540" s="14">
        <v>227.4</v>
      </c>
      <c r="M540" s="14">
        <v>217.6</v>
      </c>
    </row>
    <row r="541" ht="14.25" customHeight="1">
      <c r="A541" s="15">
        <v>193.0</v>
      </c>
      <c r="B541" s="13" t="s">
        <v>62</v>
      </c>
      <c r="C541" s="9">
        <v>90.0</v>
      </c>
      <c r="D541" s="14">
        <v>56.9</v>
      </c>
      <c r="E541" s="14">
        <v>122.4</v>
      </c>
      <c r="F541" s="14">
        <v>104.0</v>
      </c>
      <c r="G541" s="14">
        <v>150.6278859996839</v>
      </c>
      <c r="H541" s="14">
        <v>95.6</v>
      </c>
      <c r="I541" s="14">
        <v>64.9</v>
      </c>
      <c r="J541" s="9">
        <v>119.5</v>
      </c>
      <c r="K541" s="14">
        <v>191.6</v>
      </c>
      <c r="L541" s="14">
        <v>227.4</v>
      </c>
      <c r="M541" s="14">
        <v>215.1</v>
      </c>
    </row>
    <row r="542" ht="14.25" customHeight="1">
      <c r="A542" s="15">
        <v>194.0</v>
      </c>
      <c r="B542" s="13" t="s">
        <v>62</v>
      </c>
      <c r="C542" s="9">
        <v>89.3</v>
      </c>
      <c r="D542" s="14">
        <v>50.3</v>
      </c>
      <c r="E542" s="14">
        <v>112.0</v>
      </c>
      <c r="F542" s="14">
        <v>107.6</v>
      </c>
      <c r="G542" s="14">
        <v>152.0</v>
      </c>
      <c r="H542" s="14">
        <v>94.2</v>
      </c>
      <c r="I542" s="14">
        <v>61.1</v>
      </c>
      <c r="J542" s="9">
        <v>112.2</v>
      </c>
      <c r="K542" s="14">
        <v>160.6</v>
      </c>
      <c r="L542" s="14">
        <v>221.3</v>
      </c>
      <c r="M542" s="14">
        <v>202.9</v>
      </c>
    </row>
    <row r="543" ht="14.25" customHeight="1">
      <c r="A543" s="15">
        <v>195.0</v>
      </c>
      <c r="B543" s="13" t="s">
        <v>62</v>
      </c>
      <c r="C543" s="9">
        <v>91.2414748817306</v>
      </c>
      <c r="D543" s="14">
        <v>53.83706771127265</v>
      </c>
      <c r="E543" s="14">
        <v>120.59426384585458</v>
      </c>
      <c r="F543" s="14">
        <v>113.18103401094498</v>
      </c>
      <c r="G543" s="14">
        <v>159.0</v>
      </c>
      <c r="H543" s="14">
        <v>97.1676953905236</v>
      </c>
      <c r="I543" s="14">
        <v>64.35410993379367</v>
      </c>
      <c r="J543" s="9">
        <v>116.73346386572835</v>
      </c>
      <c r="K543" s="14">
        <v>192.4</v>
      </c>
      <c r="L543" s="14">
        <v>225.6627074472514</v>
      </c>
      <c r="M543" s="14">
        <v>214.14530392317664</v>
      </c>
    </row>
    <row r="544" ht="14.25" customHeight="1">
      <c r="A544" s="15">
        <v>196.0</v>
      </c>
      <c r="B544" s="13" t="s">
        <v>62</v>
      </c>
      <c r="C544" s="9">
        <v>85.1</v>
      </c>
      <c r="D544" s="14">
        <v>52.8</v>
      </c>
      <c r="E544" s="14">
        <v>113.0</v>
      </c>
      <c r="F544" s="14">
        <v>104.4</v>
      </c>
      <c r="G544" s="14">
        <v>146.47651682544168</v>
      </c>
      <c r="H544" s="14">
        <v>92.51984870695856</v>
      </c>
      <c r="I544" s="14">
        <v>60.90550851426953</v>
      </c>
      <c r="J544" s="9">
        <v>110.19337447110689</v>
      </c>
      <c r="K544" s="14">
        <v>177.07672281473992</v>
      </c>
      <c r="L544" s="14">
        <v>211.25889385117168</v>
      </c>
      <c r="M544" s="14">
        <v>199.85392890607412</v>
      </c>
    </row>
    <row r="545" ht="14.25" customHeight="1">
      <c r="A545" s="15">
        <v>197.0</v>
      </c>
      <c r="B545" s="13" t="s">
        <v>62</v>
      </c>
      <c r="C545" s="9">
        <v>85.0</v>
      </c>
      <c r="D545" s="14">
        <v>50.0</v>
      </c>
      <c r="E545" s="14">
        <v>118.2</v>
      </c>
      <c r="F545" s="14">
        <v>103.9</v>
      </c>
      <c r="G545" s="14">
        <v>147.9637456209985</v>
      </c>
      <c r="H545" s="14">
        <v>93.21705201380514</v>
      </c>
      <c r="I545" s="14">
        <v>60.183726281848486</v>
      </c>
      <c r="J545" s="9">
        <v>110.10749035614573</v>
      </c>
      <c r="K545" s="14">
        <v>178.0621768378481</v>
      </c>
      <c r="L545" s="14">
        <v>213.7499944272731</v>
      </c>
      <c r="M545" s="14">
        <v>200.88392295097657</v>
      </c>
    </row>
    <row r="546" ht="14.25" customHeight="1">
      <c r="A546" s="15">
        <v>198.0</v>
      </c>
      <c r="B546" s="13" t="s">
        <v>62</v>
      </c>
      <c r="C546" s="9">
        <v>88.6</v>
      </c>
      <c r="D546" s="14">
        <v>55.8</v>
      </c>
      <c r="E546" s="14">
        <v>116.1</v>
      </c>
      <c r="F546" s="14">
        <v>112.5</v>
      </c>
      <c r="G546" s="14">
        <v>151.4</v>
      </c>
      <c r="H546" s="14">
        <v>94.6</v>
      </c>
      <c r="I546" s="14">
        <v>62.6</v>
      </c>
      <c r="J546" s="9">
        <v>114.2</v>
      </c>
      <c r="K546" s="14">
        <v>187.9</v>
      </c>
      <c r="L546" s="14">
        <v>215.5</v>
      </c>
      <c r="M546" s="14">
        <v>203.8</v>
      </c>
    </row>
    <row r="547" ht="14.25" customHeight="1">
      <c r="A547" s="15">
        <v>199.0</v>
      </c>
      <c r="B547" s="13" t="s">
        <v>62</v>
      </c>
      <c r="C547" s="9">
        <v>83.0</v>
      </c>
      <c r="D547" s="14">
        <v>47.8</v>
      </c>
      <c r="E547" s="14">
        <v>117.1</v>
      </c>
      <c r="F547" s="14">
        <v>104.5</v>
      </c>
      <c r="G547" s="14">
        <v>147.6</v>
      </c>
      <c r="H547" s="14">
        <v>92.4</v>
      </c>
      <c r="I547" s="14">
        <v>56.6</v>
      </c>
      <c r="J547" s="9">
        <v>103.4</v>
      </c>
      <c r="K547" s="14">
        <v>178.1</v>
      </c>
      <c r="L547" s="14">
        <v>206.3</v>
      </c>
      <c r="M547" s="14">
        <v>196.8</v>
      </c>
    </row>
    <row r="548" ht="14.25" customHeight="1">
      <c r="A548" s="15">
        <v>200.0</v>
      </c>
      <c r="B548" s="13" t="s">
        <v>62</v>
      </c>
      <c r="C548" s="9">
        <v>89.9</v>
      </c>
      <c r="D548" s="14">
        <v>55.5</v>
      </c>
      <c r="E548" s="14">
        <v>116.3</v>
      </c>
      <c r="F548" s="14">
        <v>112.9</v>
      </c>
      <c r="G548" s="14">
        <v>158.3</v>
      </c>
      <c r="H548" s="14">
        <v>96.4</v>
      </c>
      <c r="I548" s="14">
        <v>63.5</v>
      </c>
      <c r="J548" s="9">
        <v>114.9</v>
      </c>
      <c r="K548" s="14">
        <v>196.6</v>
      </c>
      <c r="L548" s="14">
        <v>226.4</v>
      </c>
      <c r="M548" s="14">
        <v>215.1</v>
      </c>
    </row>
    <row r="549" ht="14.25" customHeight="1">
      <c r="A549" s="15">
        <v>201.0</v>
      </c>
      <c r="B549" s="13" t="s">
        <v>62</v>
      </c>
      <c r="C549" s="9">
        <v>89.9</v>
      </c>
      <c r="D549" s="14">
        <v>55.2</v>
      </c>
      <c r="E549" s="14">
        <v>119.4</v>
      </c>
      <c r="F549" s="14">
        <v>114.2</v>
      </c>
      <c r="G549" s="14">
        <v>157.0</v>
      </c>
      <c r="H549" s="14">
        <v>95.7</v>
      </c>
      <c r="I549" s="14">
        <v>65.4</v>
      </c>
      <c r="J549" s="9">
        <v>119.4</v>
      </c>
      <c r="K549" s="14">
        <v>198.1</v>
      </c>
      <c r="L549" s="14">
        <v>228.2</v>
      </c>
      <c r="M549" s="14">
        <v>217.7</v>
      </c>
    </row>
    <row r="550" ht="14.25" customHeight="1">
      <c r="A550" s="15">
        <v>202.0</v>
      </c>
      <c r="B550" s="13" t="s">
        <v>62</v>
      </c>
      <c r="C550" s="9">
        <v>91.0</v>
      </c>
      <c r="D550" s="14">
        <v>55.5</v>
      </c>
      <c r="E550" s="14">
        <v>114.7</v>
      </c>
      <c r="F550" s="14">
        <v>112.2</v>
      </c>
      <c r="G550" s="14">
        <v>154.3</v>
      </c>
      <c r="H550" s="14">
        <v>97.4</v>
      </c>
      <c r="I550" s="14">
        <v>62.4</v>
      </c>
      <c r="J550" s="9">
        <v>115.9</v>
      </c>
      <c r="K550" s="14">
        <v>188.9</v>
      </c>
      <c r="L550" s="14">
        <v>222.3</v>
      </c>
      <c r="M550" s="14">
        <v>213.3</v>
      </c>
    </row>
    <row r="551" ht="14.25" customHeight="1">
      <c r="A551" s="15">
        <v>203.0</v>
      </c>
      <c r="B551" s="13" t="s">
        <v>62</v>
      </c>
      <c r="C551" s="9">
        <v>81.0</v>
      </c>
      <c r="D551" s="14">
        <v>47.677130958735376</v>
      </c>
      <c r="E551" s="14">
        <v>114.3</v>
      </c>
      <c r="F551" s="14">
        <v>104.14602545585127</v>
      </c>
      <c r="G551" s="14">
        <v>147.0</v>
      </c>
      <c r="H551" s="14">
        <v>92.80578154968914</v>
      </c>
      <c r="I551" s="14">
        <v>59.00685337685125</v>
      </c>
      <c r="J551" s="9">
        <v>110.55093060456518</v>
      </c>
      <c r="K551" s="14">
        <v>169.3</v>
      </c>
      <c r="L551" s="14">
        <v>217.5</v>
      </c>
      <c r="M551" s="14">
        <v>197.0</v>
      </c>
    </row>
    <row r="552" ht="14.25" customHeight="1">
      <c r="A552" s="15">
        <v>204.0</v>
      </c>
      <c r="B552" s="13" t="s">
        <v>62</v>
      </c>
      <c r="C552" s="9">
        <v>87.7</v>
      </c>
      <c r="D552" s="14">
        <v>53.0</v>
      </c>
      <c r="E552" s="14">
        <v>121.0</v>
      </c>
      <c r="F552" s="14">
        <v>113.4</v>
      </c>
      <c r="G552" s="14">
        <v>165.6</v>
      </c>
      <c r="H552" s="14">
        <v>95.9</v>
      </c>
      <c r="I552" s="14">
        <v>65.2</v>
      </c>
      <c r="J552" s="9">
        <v>119.1</v>
      </c>
      <c r="K552" s="14">
        <v>196.0</v>
      </c>
      <c r="L552" s="14">
        <v>220.7</v>
      </c>
      <c r="M552" s="14">
        <v>210.0</v>
      </c>
    </row>
    <row r="553" ht="14.25" customHeight="1">
      <c r="A553" s="15">
        <v>205.0</v>
      </c>
      <c r="B553" s="13" t="s">
        <v>62</v>
      </c>
      <c r="C553" s="9">
        <v>80.9</v>
      </c>
      <c r="D553" s="14">
        <v>53.18397977545318</v>
      </c>
      <c r="E553" s="14">
        <v>112.3</v>
      </c>
      <c r="F553" s="14">
        <v>114.2</v>
      </c>
      <c r="G553" s="14">
        <v>152.70072554875375</v>
      </c>
      <c r="H553" s="14">
        <v>96.38610215467799</v>
      </c>
      <c r="I553" s="14">
        <v>61.538008061974054</v>
      </c>
      <c r="J553" s="9">
        <v>114.73929334508686</v>
      </c>
      <c r="K553" s="14">
        <v>188.91067246035007</v>
      </c>
      <c r="L553" s="14">
        <v>213.79612188300823</v>
      </c>
      <c r="M553" s="14">
        <v>203.40212012332523</v>
      </c>
    </row>
    <row r="554" ht="14.25" customHeight="1">
      <c r="A554" s="15">
        <v>206.0</v>
      </c>
      <c r="B554" s="13" t="s">
        <v>62</v>
      </c>
      <c r="C554" s="9">
        <v>94.0</v>
      </c>
      <c r="D554" s="14">
        <v>57.1</v>
      </c>
      <c r="E554" s="14">
        <v>124.4</v>
      </c>
      <c r="F554" s="14">
        <v>114.8</v>
      </c>
      <c r="G554" s="14">
        <v>158.6</v>
      </c>
      <c r="H554" s="14">
        <v>100.5</v>
      </c>
      <c r="I554" s="14">
        <v>66.7</v>
      </c>
      <c r="J554" s="9">
        <v>120.3</v>
      </c>
      <c r="K554" s="14">
        <v>198.9</v>
      </c>
      <c r="L554" s="14">
        <v>223.1</v>
      </c>
      <c r="M554" s="14">
        <v>220.3</v>
      </c>
    </row>
    <row r="555" ht="14.25" customHeight="1">
      <c r="A555" s="15">
        <v>207.0</v>
      </c>
      <c r="B555" s="13" t="s">
        <v>62</v>
      </c>
      <c r="C555" s="9">
        <v>89.9</v>
      </c>
      <c r="D555" s="14">
        <v>54.4</v>
      </c>
      <c r="E555" s="14">
        <v>120.0</v>
      </c>
      <c r="F555" s="14">
        <v>114.3</v>
      </c>
      <c r="G555" s="14">
        <v>156.8</v>
      </c>
      <c r="H555" s="14">
        <v>97.0</v>
      </c>
      <c r="I555" s="14">
        <v>66.1</v>
      </c>
      <c r="J555" s="9">
        <v>120.4</v>
      </c>
      <c r="K555" s="14">
        <v>197.9</v>
      </c>
      <c r="L555" s="14">
        <v>229.4</v>
      </c>
      <c r="M555" s="14">
        <v>218.1</v>
      </c>
    </row>
    <row r="556" ht="14.25" customHeight="1">
      <c r="A556" s="15">
        <v>208.0</v>
      </c>
      <c r="B556" s="13" t="s">
        <v>62</v>
      </c>
      <c r="C556" s="9">
        <v>82.7</v>
      </c>
      <c r="D556" s="14">
        <v>53.3</v>
      </c>
      <c r="E556" s="14">
        <v>111.8</v>
      </c>
      <c r="F556" s="14">
        <v>108.4</v>
      </c>
      <c r="G556" s="14">
        <v>149.6</v>
      </c>
      <c r="H556" s="14">
        <v>95.7</v>
      </c>
      <c r="I556" s="14">
        <v>61.8</v>
      </c>
      <c r="J556" s="9">
        <v>120.7</v>
      </c>
      <c r="K556" s="14">
        <v>199.0</v>
      </c>
      <c r="L556" s="14">
        <v>216.2</v>
      </c>
      <c r="M556" s="14">
        <v>203.8</v>
      </c>
    </row>
    <row r="557" ht="14.25" customHeight="1">
      <c r="A557" s="15">
        <v>209.0</v>
      </c>
      <c r="B557" s="13" t="s">
        <v>62</v>
      </c>
      <c r="C557" s="9">
        <v>85.8</v>
      </c>
      <c r="D557" s="14">
        <v>55.6</v>
      </c>
      <c r="E557" s="14">
        <v>118.4</v>
      </c>
      <c r="F557" s="14">
        <v>106.6</v>
      </c>
      <c r="G557" s="14">
        <v>149.2</v>
      </c>
      <c r="H557" s="14">
        <v>92.2</v>
      </c>
      <c r="I557" s="14">
        <v>62.6</v>
      </c>
      <c r="J557" s="9">
        <v>109.2</v>
      </c>
      <c r="K557" s="14">
        <v>180.1</v>
      </c>
      <c r="L557" s="14">
        <v>210.6</v>
      </c>
      <c r="M557" s="14">
        <v>202.6</v>
      </c>
    </row>
    <row r="558" ht="14.25" customHeight="1">
      <c r="A558" s="15">
        <v>210.0</v>
      </c>
      <c r="B558" s="13" t="s">
        <v>62</v>
      </c>
      <c r="C558" s="9">
        <v>82.0</v>
      </c>
      <c r="D558" s="14">
        <v>52.235047658712375</v>
      </c>
      <c r="E558" s="14">
        <v>113.02476433151858</v>
      </c>
      <c r="F558" s="14">
        <v>108.1</v>
      </c>
      <c r="G558" s="14">
        <v>144.9</v>
      </c>
      <c r="H558" s="14">
        <v>95.8</v>
      </c>
      <c r="I558" s="14">
        <v>59.8991427452002</v>
      </c>
      <c r="J558" s="9">
        <v>112.26289531550152</v>
      </c>
      <c r="K558" s="14">
        <v>180.2</v>
      </c>
      <c r="L558" s="14">
        <v>208.66939640484895</v>
      </c>
      <c r="M558" s="14">
        <v>198.0</v>
      </c>
    </row>
    <row r="559" ht="14.25" customHeight="1">
      <c r="A559" s="15">
        <v>211.0</v>
      </c>
      <c r="B559" s="13" t="s">
        <v>62</v>
      </c>
      <c r="C559" s="9">
        <v>86.7</v>
      </c>
      <c r="D559" s="14">
        <v>54.7781441243976</v>
      </c>
      <c r="E559" s="14">
        <v>117.5847766351075</v>
      </c>
      <c r="F559" s="14">
        <v>107.2</v>
      </c>
      <c r="G559" s="14">
        <v>149.4</v>
      </c>
      <c r="H559" s="14">
        <v>92.7</v>
      </c>
      <c r="I559" s="14">
        <v>62.757283664758745</v>
      </c>
      <c r="J559" s="9">
        <v>112.74552642495374</v>
      </c>
      <c r="K559" s="14">
        <v>187.7</v>
      </c>
      <c r="L559" s="14">
        <v>219.8</v>
      </c>
      <c r="M559" s="14">
        <v>209.5</v>
      </c>
    </row>
    <row r="560" ht="14.25" customHeight="1">
      <c r="A560" s="15">
        <v>212.0</v>
      </c>
      <c r="B560" s="13" t="s">
        <v>62</v>
      </c>
      <c r="C560" s="9">
        <v>98.2</v>
      </c>
      <c r="D560" s="14">
        <v>55.99188484019595</v>
      </c>
      <c r="E560" s="14">
        <v>118.2</v>
      </c>
      <c r="F560" s="14">
        <v>107.7</v>
      </c>
      <c r="G560" s="14">
        <v>149.7</v>
      </c>
      <c r="H560" s="14">
        <v>90.9</v>
      </c>
      <c r="I560" s="14">
        <v>65.0029559785074</v>
      </c>
      <c r="J560" s="9">
        <v>108.80197172160432</v>
      </c>
      <c r="K560" s="14">
        <v>184.6</v>
      </c>
      <c r="L560" s="14">
        <v>219.0</v>
      </c>
      <c r="M560" s="14">
        <v>208.8</v>
      </c>
    </row>
    <row r="561" ht="14.25" customHeight="1">
      <c r="A561" s="15">
        <v>213.0</v>
      </c>
      <c r="B561" s="13" t="s">
        <v>62</v>
      </c>
      <c r="C561" s="9">
        <v>82.7</v>
      </c>
      <c r="D561" s="14">
        <v>51.830322988285346</v>
      </c>
      <c r="E561" s="14">
        <v>112.50016296194023</v>
      </c>
      <c r="F561" s="14">
        <v>105.4</v>
      </c>
      <c r="G561" s="14">
        <v>145.2</v>
      </c>
      <c r="H561" s="14">
        <v>92.6</v>
      </c>
      <c r="I561" s="14">
        <v>59.99009925042977</v>
      </c>
      <c r="J561" s="9">
        <v>109.30415433239659</v>
      </c>
      <c r="K561" s="14">
        <v>176.1</v>
      </c>
      <c r="L561" s="14">
        <v>208.4</v>
      </c>
      <c r="M561" s="14">
        <v>197.00690185821963</v>
      </c>
    </row>
    <row r="562" ht="14.25" customHeight="1">
      <c r="A562" s="15">
        <v>214.0</v>
      </c>
      <c r="B562" s="13" t="s">
        <v>62</v>
      </c>
      <c r="C562" s="9">
        <v>89.4</v>
      </c>
      <c r="D562" s="14">
        <v>54.78647135448801</v>
      </c>
      <c r="E562" s="14">
        <v>120.9</v>
      </c>
      <c r="F562" s="14">
        <v>108.3</v>
      </c>
      <c r="G562" s="14">
        <v>151.8</v>
      </c>
      <c r="H562" s="14">
        <v>95.6</v>
      </c>
      <c r="I562" s="14">
        <v>62.92487582944893</v>
      </c>
      <c r="J562" s="9">
        <v>113.83831075454137</v>
      </c>
      <c r="K562" s="14">
        <v>189.3</v>
      </c>
      <c r="L562" s="14">
        <v>214.8</v>
      </c>
      <c r="M562" s="14">
        <v>208.2</v>
      </c>
    </row>
    <row r="563" ht="14.25" customHeight="1">
      <c r="A563" s="15">
        <v>215.0</v>
      </c>
      <c r="B563" s="13" t="s">
        <v>62</v>
      </c>
      <c r="C563" s="9">
        <v>86.3</v>
      </c>
      <c r="D563" s="14">
        <v>53.77082400889706</v>
      </c>
      <c r="E563" s="14">
        <v>116.97169830333715</v>
      </c>
      <c r="F563" s="14">
        <v>108.6</v>
      </c>
      <c r="G563" s="14">
        <v>150.0</v>
      </c>
      <c r="H563" s="14">
        <v>96.0</v>
      </c>
      <c r="I563" s="14">
        <v>61.8</v>
      </c>
      <c r="J563" s="9">
        <v>116.0</v>
      </c>
      <c r="K563" s="14">
        <v>184.1</v>
      </c>
      <c r="L563" s="14">
        <v>215.3</v>
      </c>
      <c r="M563" s="14">
        <v>205.3</v>
      </c>
    </row>
    <row r="564" ht="14.25" customHeight="1">
      <c r="A564" s="15">
        <v>216.0</v>
      </c>
      <c r="B564" s="13" t="s">
        <v>62</v>
      </c>
      <c r="C564" s="9">
        <v>87.0</v>
      </c>
      <c r="D564" s="14">
        <v>51.06601680395739</v>
      </c>
      <c r="E564" s="14">
        <v>112.2</v>
      </c>
      <c r="F564" s="14">
        <v>107.2</v>
      </c>
      <c r="G564" s="14">
        <v>149.4</v>
      </c>
      <c r="H564" s="14">
        <v>93.7</v>
      </c>
      <c r="I564" s="14">
        <v>60.0</v>
      </c>
      <c r="J564" s="9">
        <v>107.5</v>
      </c>
      <c r="K564" s="14">
        <v>177.4</v>
      </c>
      <c r="L564" s="14">
        <v>204.3</v>
      </c>
      <c r="M564" s="14">
        <v>194.9</v>
      </c>
    </row>
    <row r="565" ht="14.25" customHeight="1">
      <c r="A565" s="15">
        <v>217.0</v>
      </c>
      <c r="B565" s="13" t="s">
        <v>62</v>
      </c>
      <c r="C565" s="9">
        <v>90.5</v>
      </c>
      <c r="D565" s="14">
        <v>55.314587330895186</v>
      </c>
      <c r="E565" s="14">
        <v>118.98388396495675</v>
      </c>
      <c r="F565" s="14">
        <v>109.4</v>
      </c>
      <c r="G565" s="14">
        <v>151.8</v>
      </c>
      <c r="H565" s="14">
        <v>95.0</v>
      </c>
      <c r="I565" s="14">
        <v>65.0</v>
      </c>
      <c r="J565" s="9">
        <v>118.0</v>
      </c>
      <c r="K565" s="14">
        <v>187.9</v>
      </c>
      <c r="L565" s="14">
        <v>218.8</v>
      </c>
      <c r="M565" s="14">
        <v>207.6</v>
      </c>
    </row>
    <row r="566" ht="14.25" customHeight="1">
      <c r="A566" s="15">
        <v>218.0</v>
      </c>
      <c r="B566" s="13" t="s">
        <v>62</v>
      </c>
      <c r="C566" s="9">
        <v>91.4</v>
      </c>
      <c r="D566" s="14">
        <v>53.952156225706794</v>
      </c>
      <c r="E566" s="14">
        <v>120.6</v>
      </c>
      <c r="F566" s="14">
        <v>114.7</v>
      </c>
      <c r="G566" s="14">
        <v>155.7</v>
      </c>
      <c r="H566" s="14">
        <v>98.2</v>
      </c>
      <c r="I566" s="14">
        <v>63.4</v>
      </c>
      <c r="J566" s="9">
        <v>111.3</v>
      </c>
      <c r="K566" s="14">
        <v>197.8</v>
      </c>
      <c r="L566" s="14">
        <v>228.7</v>
      </c>
      <c r="M566" s="14">
        <v>218.2</v>
      </c>
    </row>
    <row r="567" ht="14.25" customHeight="1">
      <c r="A567" s="15">
        <v>219.0</v>
      </c>
      <c r="B567" s="13" t="s">
        <v>62</v>
      </c>
      <c r="C567" s="9">
        <v>93.4</v>
      </c>
      <c r="D567" s="14">
        <v>48.92982197868353</v>
      </c>
      <c r="E567" s="14">
        <v>119.5</v>
      </c>
      <c r="F567" s="14">
        <v>111.4</v>
      </c>
      <c r="G567" s="14">
        <v>157.7</v>
      </c>
      <c r="H567" s="14">
        <v>98.1</v>
      </c>
      <c r="I567" s="14">
        <v>63.5</v>
      </c>
      <c r="J567" s="9">
        <v>114.2</v>
      </c>
      <c r="K567" s="14">
        <v>195.6</v>
      </c>
      <c r="L567" s="14">
        <v>227.1</v>
      </c>
      <c r="M567" s="14">
        <v>207.7</v>
      </c>
    </row>
    <row r="568" ht="14.25" customHeight="1">
      <c r="A568" s="15">
        <v>220.0</v>
      </c>
      <c r="B568" s="13" t="s">
        <v>62</v>
      </c>
      <c r="C568" s="9">
        <v>92.5</v>
      </c>
      <c r="D568" s="14">
        <v>47.8</v>
      </c>
      <c r="E568" s="14">
        <v>118.4</v>
      </c>
      <c r="F568" s="14">
        <v>108.60209930575564</v>
      </c>
      <c r="G568" s="14">
        <v>154.37335144919552</v>
      </c>
      <c r="H568" s="14">
        <v>95.07452586926782</v>
      </c>
      <c r="I568" s="14">
        <v>61.68619237988454</v>
      </c>
      <c r="J568" s="9">
        <v>109.9155521019084</v>
      </c>
      <c r="K568" s="14">
        <v>182.0434031866706</v>
      </c>
      <c r="L568" s="14">
        <v>222.38171239940195</v>
      </c>
      <c r="M568" s="14">
        <v>206.14268551153597</v>
      </c>
    </row>
    <row r="569" ht="14.25" customHeight="1">
      <c r="A569" s="15">
        <v>221.0</v>
      </c>
      <c r="B569" s="13" t="s">
        <v>62</v>
      </c>
      <c r="C569" s="9">
        <v>84.5</v>
      </c>
      <c r="D569" s="14">
        <v>50.5</v>
      </c>
      <c r="E569" s="14">
        <v>113.3</v>
      </c>
      <c r="F569" s="14">
        <v>107.09494330013543</v>
      </c>
      <c r="G569" s="14">
        <v>149.25190075548443</v>
      </c>
      <c r="H569" s="14">
        <v>93.80261987538566</v>
      </c>
      <c r="I569" s="14">
        <v>60.47998936869241</v>
      </c>
      <c r="J569" s="9">
        <v>110.28516260342813</v>
      </c>
      <c r="K569" s="14">
        <v>179.14488172385444</v>
      </c>
      <c r="L569" s="14">
        <v>213.01412201251657</v>
      </c>
      <c r="M569" s="14">
        <v>200.03488380391343</v>
      </c>
    </row>
    <row r="570" ht="14.25" customHeight="1">
      <c r="A570" s="15">
        <v>222.0</v>
      </c>
      <c r="B570" s="13" t="s">
        <v>62</v>
      </c>
      <c r="C570" s="9">
        <v>92.1990605663942</v>
      </c>
      <c r="D570" s="14">
        <v>57.6</v>
      </c>
      <c r="E570" s="14">
        <v>122.19248936185264</v>
      </c>
      <c r="F570" s="14">
        <v>116.0</v>
      </c>
      <c r="G570" s="14">
        <v>157.3275624600557</v>
      </c>
      <c r="H570" s="14">
        <v>97.84158464888834</v>
      </c>
      <c r="I570" s="14">
        <v>65.81014922479649</v>
      </c>
      <c r="J570" s="9">
        <v>119.07177617612646</v>
      </c>
      <c r="K570" s="14">
        <v>199.31203741134672</v>
      </c>
      <c r="L570" s="14">
        <v>226.52982922325575</v>
      </c>
      <c r="M570" s="14">
        <v>217.93428783995967</v>
      </c>
    </row>
    <row r="571" ht="14.25" customHeight="1">
      <c r="A571" s="15">
        <v>223.0</v>
      </c>
      <c r="B571" s="13" t="s">
        <v>62</v>
      </c>
      <c r="C571" s="9">
        <v>90.0</v>
      </c>
      <c r="D571" s="14">
        <v>52.1</v>
      </c>
      <c r="E571" s="14">
        <v>119.2</v>
      </c>
      <c r="F571" s="14">
        <v>112.4</v>
      </c>
      <c r="G571" s="14">
        <v>156.1</v>
      </c>
      <c r="H571" s="14">
        <v>96.60741241507449</v>
      </c>
      <c r="I571" s="14">
        <v>63.19390670524683</v>
      </c>
      <c r="J571" s="9">
        <v>114.66247457505739</v>
      </c>
      <c r="K571" s="14">
        <v>190.9</v>
      </c>
      <c r="L571" s="14">
        <v>223.07357146262794</v>
      </c>
      <c r="M571" s="14">
        <v>210.62066990867942</v>
      </c>
    </row>
    <row r="572" ht="14.25" customHeight="1">
      <c r="A572" s="15">
        <v>224.0</v>
      </c>
      <c r="B572" s="13" t="s">
        <v>62</v>
      </c>
      <c r="C572" s="9">
        <v>82.4</v>
      </c>
      <c r="D572" s="14">
        <v>54.9</v>
      </c>
      <c r="E572" s="14">
        <v>114.0</v>
      </c>
      <c r="F572" s="14">
        <v>108.25168503078913</v>
      </c>
      <c r="G572" s="14">
        <v>148.07037464991927</v>
      </c>
      <c r="H572" s="14">
        <v>94.09694047906203</v>
      </c>
      <c r="I572" s="14">
        <v>61.4</v>
      </c>
      <c r="J572" s="9">
        <v>113.20598069868265</v>
      </c>
      <c r="K572" s="14">
        <v>183.56635691489794</v>
      </c>
      <c r="L572" s="14">
        <v>211.53803166243836</v>
      </c>
      <c r="M572" s="14">
        <v>202.4514067591556</v>
      </c>
    </row>
    <row r="573" ht="14.25" customHeight="1">
      <c r="A573" s="15">
        <v>225.0</v>
      </c>
      <c r="B573" s="13" t="s">
        <v>62</v>
      </c>
      <c r="C573" s="9">
        <v>81.3</v>
      </c>
      <c r="D573" s="14">
        <v>49.1</v>
      </c>
      <c r="E573" s="14">
        <v>112.7</v>
      </c>
      <c r="F573" s="14">
        <v>104.6</v>
      </c>
      <c r="G573" s="14">
        <v>149.5</v>
      </c>
      <c r="H573" s="14">
        <v>92.6</v>
      </c>
      <c r="I573" s="14">
        <v>59.7</v>
      </c>
      <c r="J573" s="9">
        <v>108.6</v>
      </c>
      <c r="K573" s="14">
        <v>175.5</v>
      </c>
      <c r="L573" s="14">
        <v>210.7</v>
      </c>
      <c r="M573" s="14">
        <v>198.8</v>
      </c>
    </row>
    <row r="574" ht="14.25" customHeight="1">
      <c r="A574" s="15">
        <v>226.0</v>
      </c>
      <c r="B574" s="13" t="s">
        <v>62</v>
      </c>
      <c r="C574" s="9">
        <v>86.6</v>
      </c>
      <c r="D574" s="14">
        <v>51.1</v>
      </c>
      <c r="E574" s="14">
        <v>119.4</v>
      </c>
      <c r="F574" s="14">
        <v>109.1</v>
      </c>
      <c r="G574" s="14">
        <v>151.1</v>
      </c>
      <c r="H574" s="14">
        <v>96.09587065603505</v>
      </c>
      <c r="I574" s="14">
        <v>61.257553264753476</v>
      </c>
      <c r="J574" s="9">
        <v>112.50540736758975</v>
      </c>
      <c r="K574" s="14">
        <v>190.0</v>
      </c>
      <c r="L574" s="14">
        <v>221.9</v>
      </c>
      <c r="M574" s="14">
        <v>212.0</v>
      </c>
    </row>
    <row r="575" ht="14.25" customHeight="1">
      <c r="A575" s="15">
        <v>227.0</v>
      </c>
      <c r="B575" s="13" t="s">
        <v>62</v>
      </c>
      <c r="C575" s="9">
        <v>88.9</v>
      </c>
      <c r="D575" s="14">
        <v>52.4</v>
      </c>
      <c r="E575" s="14">
        <v>114.0</v>
      </c>
      <c r="F575" s="14">
        <v>106.4</v>
      </c>
      <c r="G575" s="14">
        <v>148.0</v>
      </c>
      <c r="H575" s="14">
        <v>93.5</v>
      </c>
      <c r="I575" s="14">
        <v>62.2</v>
      </c>
      <c r="J575" s="9">
        <v>110.79534378358899</v>
      </c>
      <c r="K575" s="14">
        <v>179.8</v>
      </c>
      <c r="L575" s="14">
        <v>211.9</v>
      </c>
      <c r="M575" s="14">
        <v>200.2</v>
      </c>
    </row>
    <row r="576" ht="14.25" customHeight="1">
      <c r="A576" s="15">
        <v>228.0</v>
      </c>
      <c r="B576" s="13" t="s">
        <v>62</v>
      </c>
      <c r="C576" s="9">
        <v>92.8</v>
      </c>
      <c r="D576" s="14">
        <v>55.9</v>
      </c>
      <c r="E576" s="14">
        <v>126.0</v>
      </c>
      <c r="F576" s="14">
        <v>113.5</v>
      </c>
      <c r="G576" s="14">
        <v>153.8</v>
      </c>
      <c r="H576" s="14">
        <v>96.9</v>
      </c>
      <c r="I576" s="14">
        <v>65.9</v>
      </c>
      <c r="J576" s="9">
        <v>118.7</v>
      </c>
      <c r="K576" s="14">
        <v>193.6</v>
      </c>
      <c r="L576" s="14">
        <v>224.3</v>
      </c>
      <c r="M576" s="14">
        <v>214.1</v>
      </c>
    </row>
    <row r="577" ht="14.25" customHeight="1">
      <c r="A577" s="15">
        <v>229.0</v>
      </c>
      <c r="B577" s="13" t="s">
        <v>62</v>
      </c>
      <c r="C577" s="9">
        <v>84.7</v>
      </c>
      <c r="D577" s="14">
        <v>53.8</v>
      </c>
      <c r="E577" s="14">
        <v>112.6</v>
      </c>
      <c r="F577" s="14">
        <v>105.0</v>
      </c>
      <c r="G577" s="14">
        <v>146.0</v>
      </c>
      <c r="H577" s="14">
        <v>92.1</v>
      </c>
      <c r="I577" s="14">
        <v>61.9</v>
      </c>
      <c r="J577" s="9">
        <v>110.1</v>
      </c>
      <c r="K577" s="14">
        <v>178.9</v>
      </c>
      <c r="L577" s="14">
        <v>210.5</v>
      </c>
      <c r="M577" s="14">
        <v>200.4</v>
      </c>
    </row>
    <row r="578" ht="14.25" customHeight="1">
      <c r="A578" s="15">
        <v>230.0</v>
      </c>
      <c r="B578" s="13" t="s">
        <v>62</v>
      </c>
      <c r="C578" s="9">
        <v>92.8</v>
      </c>
      <c r="D578" s="14">
        <v>57.1</v>
      </c>
      <c r="E578" s="14">
        <v>128.3</v>
      </c>
      <c r="F578" s="14">
        <v>116.4</v>
      </c>
      <c r="G578" s="14">
        <v>156.4</v>
      </c>
      <c r="H578" s="14">
        <v>97.8</v>
      </c>
      <c r="I578" s="14">
        <v>65.4</v>
      </c>
      <c r="J578" s="9">
        <v>118.6</v>
      </c>
      <c r="K578" s="14">
        <v>199.6</v>
      </c>
      <c r="L578" s="14">
        <v>230.9</v>
      </c>
      <c r="M578" s="14">
        <v>218.8</v>
      </c>
    </row>
    <row r="579" ht="14.25" customHeight="1">
      <c r="A579" s="15">
        <v>231.0</v>
      </c>
      <c r="B579" s="13" t="s">
        <v>62</v>
      </c>
      <c r="C579" s="9">
        <v>92.8</v>
      </c>
      <c r="D579" s="14">
        <v>55.9</v>
      </c>
      <c r="E579" s="14">
        <v>126.0</v>
      </c>
      <c r="F579" s="14">
        <v>113.5</v>
      </c>
      <c r="G579" s="14">
        <v>153.8</v>
      </c>
      <c r="H579" s="14">
        <v>96.9</v>
      </c>
      <c r="I579" s="14">
        <v>65.9</v>
      </c>
      <c r="J579" s="9">
        <v>118.7</v>
      </c>
      <c r="K579" s="14">
        <v>193.6</v>
      </c>
      <c r="L579" s="14">
        <v>224.3</v>
      </c>
      <c r="M579" s="14">
        <v>214.1</v>
      </c>
    </row>
    <row r="580" ht="14.25" customHeight="1">
      <c r="A580" s="15">
        <v>232.0</v>
      </c>
      <c r="B580" s="13" t="s">
        <v>62</v>
      </c>
      <c r="C580" s="9">
        <v>84.7</v>
      </c>
      <c r="D580" s="14">
        <v>53.8</v>
      </c>
      <c r="E580" s="14">
        <v>112.6</v>
      </c>
      <c r="F580" s="14">
        <v>105.0</v>
      </c>
      <c r="G580" s="14">
        <v>146.0</v>
      </c>
      <c r="H580" s="14">
        <v>92.1</v>
      </c>
      <c r="I580" s="14">
        <v>61.9</v>
      </c>
      <c r="J580" s="9">
        <v>110.1</v>
      </c>
      <c r="K580" s="14">
        <v>178.9</v>
      </c>
      <c r="L580" s="14">
        <v>210.5</v>
      </c>
      <c r="M580" s="14">
        <v>200.4</v>
      </c>
    </row>
    <row r="581" ht="14.25" customHeight="1">
      <c r="A581" s="15">
        <v>233.0</v>
      </c>
      <c r="B581" s="13" t="s">
        <v>62</v>
      </c>
      <c r="C581" s="9">
        <v>88.5</v>
      </c>
      <c r="D581" s="14">
        <v>53.8</v>
      </c>
      <c r="E581" s="14">
        <v>118.2</v>
      </c>
      <c r="F581" s="14">
        <v>110.4</v>
      </c>
      <c r="G581" s="14">
        <v>146.2</v>
      </c>
      <c r="H581" s="14">
        <v>92.1</v>
      </c>
      <c r="I581" s="14">
        <v>62.6</v>
      </c>
      <c r="J581" s="9">
        <v>112.0</v>
      </c>
      <c r="K581" s="14">
        <v>183.5</v>
      </c>
      <c r="L581" s="14">
        <v>216.3</v>
      </c>
      <c r="M581" s="14">
        <v>203.78509339659485</v>
      </c>
    </row>
    <row r="582" ht="14.25" customHeight="1">
      <c r="A582" s="15">
        <v>234.0</v>
      </c>
      <c r="B582" s="13" t="s">
        <v>62</v>
      </c>
      <c r="C582" s="9">
        <v>91.5</v>
      </c>
      <c r="D582" s="14">
        <v>56.9</v>
      </c>
      <c r="E582" s="14">
        <v>126.0</v>
      </c>
      <c r="F582" s="14">
        <v>111.5</v>
      </c>
      <c r="G582" s="14">
        <v>153.9</v>
      </c>
      <c r="H582" s="14">
        <v>97.3</v>
      </c>
      <c r="I582" s="14">
        <v>61.2</v>
      </c>
      <c r="J582" s="9">
        <v>115.7</v>
      </c>
      <c r="K582" s="14">
        <v>189.8</v>
      </c>
      <c r="L582" s="14">
        <v>222.4</v>
      </c>
      <c r="M582" s="14">
        <v>215.4</v>
      </c>
    </row>
    <row r="583" ht="14.25" customHeight="1">
      <c r="A583" s="15">
        <v>235.0</v>
      </c>
      <c r="B583" s="13" t="s">
        <v>62</v>
      </c>
      <c r="C583" s="9">
        <v>83.9</v>
      </c>
      <c r="D583" s="14">
        <v>53.5</v>
      </c>
      <c r="E583" s="14">
        <v>114.1</v>
      </c>
      <c r="F583" s="14">
        <v>108.0</v>
      </c>
      <c r="G583" s="14">
        <v>150.9</v>
      </c>
      <c r="H583" s="14">
        <v>96.2</v>
      </c>
      <c r="I583" s="14">
        <v>62.5</v>
      </c>
      <c r="J583" s="9">
        <v>114.8</v>
      </c>
      <c r="K583" s="14">
        <v>180.0</v>
      </c>
      <c r="L583" s="14">
        <v>212.2</v>
      </c>
      <c r="M583" s="14">
        <v>201.7</v>
      </c>
    </row>
    <row r="584" ht="14.25" customHeight="1">
      <c r="A584" s="15">
        <v>13.0</v>
      </c>
      <c r="B584" s="13" t="s">
        <v>63</v>
      </c>
      <c r="C584" s="9">
        <v>57.2</v>
      </c>
      <c r="D584" s="14">
        <v>36.1</v>
      </c>
      <c r="E584" s="14">
        <v>69.0</v>
      </c>
      <c r="F584" s="14">
        <v>66.8</v>
      </c>
      <c r="G584" s="14">
        <v>86.0</v>
      </c>
      <c r="H584" s="14">
        <v>56.0</v>
      </c>
      <c r="I584" s="14">
        <v>39.4</v>
      </c>
      <c r="J584" s="9">
        <v>75.3</v>
      </c>
      <c r="K584" s="14">
        <v>121.2</v>
      </c>
      <c r="L584" s="14">
        <v>141.2</v>
      </c>
      <c r="M584" s="14">
        <v>134.6</v>
      </c>
    </row>
    <row r="585" ht="14.25" customHeight="1">
      <c r="A585" s="15">
        <v>39.0</v>
      </c>
      <c r="B585" s="13" t="s">
        <v>63</v>
      </c>
      <c r="C585" s="9">
        <v>58.8</v>
      </c>
      <c r="D585" s="14">
        <v>36.6</v>
      </c>
      <c r="E585" s="14">
        <v>61.8</v>
      </c>
      <c r="F585" s="14">
        <v>64.0</v>
      </c>
      <c r="G585" s="14">
        <v>84.9</v>
      </c>
      <c r="H585" s="14">
        <v>55.9</v>
      </c>
      <c r="I585" s="14">
        <v>41.2</v>
      </c>
      <c r="J585" s="9">
        <v>74.8</v>
      </c>
      <c r="K585" s="14">
        <v>116.6</v>
      </c>
      <c r="L585" s="14">
        <v>131.2</v>
      </c>
      <c r="M585" s="14">
        <v>124.3</v>
      </c>
    </row>
    <row r="586" ht="14.25" customHeight="1">
      <c r="A586" s="15">
        <v>411.0</v>
      </c>
      <c r="B586" s="13" t="s">
        <v>63</v>
      </c>
      <c r="C586" s="9">
        <v>55.3</v>
      </c>
      <c r="D586" s="14">
        <v>36.8</v>
      </c>
      <c r="E586" s="14">
        <v>65.5</v>
      </c>
      <c r="F586" s="14">
        <v>62.4</v>
      </c>
      <c r="G586" s="14">
        <v>84.6</v>
      </c>
      <c r="H586" s="14">
        <v>53.9</v>
      </c>
      <c r="I586" s="14">
        <v>41.2</v>
      </c>
      <c r="J586" s="9">
        <v>75.3</v>
      </c>
      <c r="K586" s="14">
        <v>115.9590613446809</v>
      </c>
      <c r="L586" s="14">
        <v>133.8</v>
      </c>
      <c r="M586" s="14">
        <v>128.0</v>
      </c>
    </row>
    <row r="587" ht="14.25" customHeight="1">
      <c r="A587" s="15">
        <v>412.0</v>
      </c>
      <c r="B587" s="13" t="s">
        <v>63</v>
      </c>
      <c r="C587" s="9">
        <v>54.9</v>
      </c>
      <c r="D587" s="14">
        <v>36.4</v>
      </c>
      <c r="E587" s="14">
        <v>61.6</v>
      </c>
      <c r="F587" s="14">
        <v>66.2</v>
      </c>
      <c r="G587" s="14">
        <v>88.2</v>
      </c>
      <c r="H587" s="14">
        <v>58.9</v>
      </c>
      <c r="I587" s="14">
        <v>37.1</v>
      </c>
      <c r="J587" s="9">
        <v>76.08891593259956</v>
      </c>
      <c r="K587" s="14">
        <v>121.4</v>
      </c>
      <c r="L587" s="14">
        <v>143.3</v>
      </c>
      <c r="M587" s="14">
        <v>137.8</v>
      </c>
    </row>
    <row r="588" ht="14.25" customHeight="1">
      <c r="A588" s="15">
        <v>413.0</v>
      </c>
      <c r="B588" s="13" t="s">
        <v>63</v>
      </c>
      <c r="C588" s="9">
        <v>54.9</v>
      </c>
      <c r="D588" s="14">
        <v>38.6</v>
      </c>
      <c r="E588" s="14">
        <v>68.7</v>
      </c>
      <c r="F588" s="14">
        <v>66.2</v>
      </c>
      <c r="G588" s="14">
        <v>86.6</v>
      </c>
      <c r="H588" s="14">
        <v>57.2</v>
      </c>
      <c r="I588" s="14">
        <v>40.72609021939127</v>
      </c>
      <c r="J588" s="9">
        <v>73.06234361964188</v>
      </c>
      <c r="K588" s="14">
        <v>120.0</v>
      </c>
      <c r="L588" s="14">
        <v>138.0</v>
      </c>
      <c r="M588" s="14">
        <v>130.0</v>
      </c>
    </row>
    <row r="589" ht="14.25" customHeight="1">
      <c r="A589" s="15">
        <v>414.0</v>
      </c>
      <c r="B589" s="13" t="s">
        <v>63</v>
      </c>
      <c r="C589" s="9">
        <v>51.6</v>
      </c>
      <c r="D589" s="14">
        <v>37.9</v>
      </c>
      <c r="E589" s="14">
        <v>62.7</v>
      </c>
      <c r="F589" s="14">
        <v>63.4</v>
      </c>
      <c r="G589" s="14">
        <v>79.6</v>
      </c>
      <c r="H589" s="14">
        <v>55.44418176402791</v>
      </c>
      <c r="I589" s="14">
        <v>39.4</v>
      </c>
      <c r="J589" s="9">
        <v>71.0</v>
      </c>
      <c r="K589" s="14">
        <v>113.8</v>
      </c>
      <c r="L589" s="14">
        <v>130.4</v>
      </c>
      <c r="M589" s="14">
        <v>124.1</v>
      </c>
    </row>
    <row r="590" ht="14.25" customHeight="1">
      <c r="A590" s="15">
        <v>415.0</v>
      </c>
      <c r="B590" s="13" t="s">
        <v>63</v>
      </c>
      <c r="C590" s="9">
        <v>53.8</v>
      </c>
      <c r="D590" s="14">
        <v>36.1</v>
      </c>
      <c r="E590" s="14">
        <v>65.2</v>
      </c>
      <c r="F590" s="14">
        <v>64.6</v>
      </c>
      <c r="G590" s="14">
        <v>86.6</v>
      </c>
      <c r="H590" s="14">
        <v>55.8</v>
      </c>
      <c r="I590" s="14">
        <v>37.4</v>
      </c>
      <c r="J590" s="9">
        <v>75.8</v>
      </c>
      <c r="K590" s="14">
        <v>121.3</v>
      </c>
      <c r="L590" s="14">
        <v>138.9</v>
      </c>
      <c r="M590" s="14">
        <v>132.0</v>
      </c>
    </row>
    <row r="591" ht="14.25" customHeight="1">
      <c r="A591" s="15">
        <v>416.0</v>
      </c>
      <c r="B591" s="13" t="s">
        <v>63</v>
      </c>
      <c r="C591" s="9">
        <v>52.5</v>
      </c>
      <c r="D591" s="14">
        <v>36.4</v>
      </c>
      <c r="E591" s="14">
        <v>60.9</v>
      </c>
      <c r="F591" s="14">
        <v>65.0</v>
      </c>
      <c r="G591" s="14">
        <v>82.0</v>
      </c>
      <c r="H591" s="14">
        <v>56.833514286872166</v>
      </c>
      <c r="I591" s="14">
        <v>40.7</v>
      </c>
      <c r="J591" s="9">
        <v>72.8</v>
      </c>
      <c r="K591" s="14">
        <v>114.8</v>
      </c>
      <c r="L591" s="14">
        <v>134.0</v>
      </c>
      <c r="M591" s="14">
        <v>126.7403350533457</v>
      </c>
    </row>
    <row r="592" ht="14.25" customHeight="1">
      <c r="A592" s="15">
        <v>417.0</v>
      </c>
      <c r="B592" s="13" t="s">
        <v>63</v>
      </c>
      <c r="C592" s="9">
        <v>52.45291389371325</v>
      </c>
      <c r="D592" s="14">
        <v>36.8</v>
      </c>
      <c r="E592" s="14">
        <v>64.5</v>
      </c>
      <c r="F592" s="14">
        <v>65.0</v>
      </c>
      <c r="G592" s="14">
        <v>83.1</v>
      </c>
      <c r="H592" s="14">
        <v>56.9</v>
      </c>
      <c r="I592" s="14">
        <v>38.3</v>
      </c>
      <c r="J592" s="9">
        <v>72.3</v>
      </c>
      <c r="K592" s="14">
        <v>118.1</v>
      </c>
      <c r="L592" s="14">
        <v>137.5</v>
      </c>
      <c r="M592" s="14">
        <v>130.3</v>
      </c>
    </row>
    <row r="593" ht="14.25" customHeight="1">
      <c r="A593" s="15">
        <v>418.0</v>
      </c>
      <c r="B593" s="13" t="s">
        <v>63</v>
      </c>
      <c r="C593" s="9">
        <v>50.7</v>
      </c>
      <c r="D593" s="14">
        <v>33.8</v>
      </c>
      <c r="E593" s="14">
        <v>64.12360302245739</v>
      </c>
      <c r="F593" s="14">
        <v>63.5</v>
      </c>
      <c r="G593" s="14">
        <v>83.3</v>
      </c>
      <c r="H593" s="14">
        <v>55.5</v>
      </c>
      <c r="I593" s="14">
        <v>38.8</v>
      </c>
      <c r="J593" s="9">
        <v>74.0</v>
      </c>
      <c r="K593" s="14">
        <v>114.7</v>
      </c>
      <c r="L593" s="14">
        <v>138.6</v>
      </c>
      <c r="M593" s="14">
        <v>127.9</v>
      </c>
    </row>
    <row r="594" ht="14.25" customHeight="1">
      <c r="A594" s="15">
        <v>419.0</v>
      </c>
      <c r="B594" s="13" t="s">
        <v>63</v>
      </c>
      <c r="C594" s="9">
        <v>48.3</v>
      </c>
      <c r="D594" s="14">
        <v>34.8</v>
      </c>
      <c r="E594" s="14">
        <v>57.0</v>
      </c>
      <c r="F594" s="14">
        <v>61.8</v>
      </c>
      <c r="G594" s="14">
        <v>83.3</v>
      </c>
      <c r="H594" s="14">
        <v>55.2</v>
      </c>
      <c r="I594" s="14">
        <v>36.9</v>
      </c>
      <c r="J594" s="9">
        <v>73.78113892729539</v>
      </c>
      <c r="K594" s="14">
        <v>114.5</v>
      </c>
      <c r="L594" s="14">
        <v>132.4</v>
      </c>
      <c r="M594" s="14">
        <v>125.5</v>
      </c>
    </row>
    <row r="595" ht="14.25" customHeight="1">
      <c r="A595" s="15">
        <v>420.0</v>
      </c>
      <c r="B595" s="13" t="s">
        <v>63</v>
      </c>
      <c r="C595" s="9">
        <v>53.2</v>
      </c>
      <c r="D595" s="14">
        <v>31.3</v>
      </c>
      <c r="E595" s="14">
        <v>61.5</v>
      </c>
      <c r="F595" s="14">
        <v>63.1</v>
      </c>
      <c r="G595" s="14">
        <v>82.5</v>
      </c>
      <c r="H595" s="14">
        <v>55.8</v>
      </c>
      <c r="I595" s="14">
        <v>39.0</v>
      </c>
      <c r="J595" s="9">
        <v>73.9</v>
      </c>
      <c r="K595" s="14">
        <v>112.9</v>
      </c>
      <c r="L595" s="14">
        <v>133.9</v>
      </c>
      <c r="M595" s="14">
        <v>126.9</v>
      </c>
    </row>
    <row r="596" ht="14.25" customHeight="1">
      <c r="A596" s="15">
        <v>421.0</v>
      </c>
      <c r="B596" s="13" t="s">
        <v>63</v>
      </c>
      <c r="C596" s="9">
        <v>51.6</v>
      </c>
      <c r="D596" s="14">
        <v>32.7</v>
      </c>
      <c r="E596" s="14">
        <v>62.9</v>
      </c>
      <c r="F596" s="14">
        <v>61.3</v>
      </c>
      <c r="G596" s="14">
        <v>80.5</v>
      </c>
      <c r="H596" s="14">
        <v>53.2</v>
      </c>
      <c r="I596" s="14">
        <v>39.8</v>
      </c>
      <c r="J596" s="9">
        <v>72.6</v>
      </c>
      <c r="K596" s="14">
        <v>111.3</v>
      </c>
      <c r="L596" s="14">
        <v>129.4</v>
      </c>
      <c r="M596" s="14">
        <v>123.7</v>
      </c>
    </row>
    <row r="597" ht="14.25" customHeight="1">
      <c r="A597" s="15">
        <v>422.0</v>
      </c>
      <c r="B597" s="13" t="s">
        <v>63</v>
      </c>
      <c r="C597" s="9">
        <v>56.0</v>
      </c>
      <c r="D597" s="14">
        <v>35.5</v>
      </c>
      <c r="E597" s="14">
        <v>66.2</v>
      </c>
      <c r="F597" s="14">
        <v>63.06654275614524</v>
      </c>
      <c r="G597" s="14">
        <v>82.94712426547328</v>
      </c>
      <c r="H597" s="14">
        <v>55.3499230381806</v>
      </c>
      <c r="I597" s="14">
        <v>40.3</v>
      </c>
      <c r="J597" s="9">
        <v>76.5</v>
      </c>
      <c r="K597" s="14">
        <v>115.5</v>
      </c>
      <c r="L597" s="14">
        <v>133.8</v>
      </c>
      <c r="M597" s="14">
        <v>127.9</v>
      </c>
    </row>
    <row r="598" ht="14.25" customHeight="1">
      <c r="A598" s="15">
        <v>423.0</v>
      </c>
      <c r="B598" s="13" t="s">
        <v>63</v>
      </c>
      <c r="C598" s="9">
        <v>55.3</v>
      </c>
      <c r="D598" s="14">
        <v>35.9</v>
      </c>
      <c r="E598" s="14">
        <v>66.4</v>
      </c>
      <c r="F598" s="14">
        <v>65.9</v>
      </c>
      <c r="G598" s="14">
        <v>84.7</v>
      </c>
      <c r="H598" s="14">
        <v>57.6</v>
      </c>
      <c r="I598" s="14">
        <v>39.9</v>
      </c>
      <c r="J598" s="9">
        <v>72.4</v>
      </c>
      <c r="K598" s="14">
        <v>120.0</v>
      </c>
      <c r="L598" s="14">
        <v>136.4</v>
      </c>
      <c r="M598" s="14">
        <v>130.0</v>
      </c>
    </row>
    <row r="599" ht="14.25" customHeight="1">
      <c r="A599" s="15">
        <v>424.0</v>
      </c>
      <c r="B599" s="13" t="s">
        <v>63</v>
      </c>
      <c r="C599" s="9">
        <v>54.8</v>
      </c>
      <c r="D599" s="14">
        <v>36.2</v>
      </c>
      <c r="E599" s="14">
        <v>63.1</v>
      </c>
      <c r="F599" s="14">
        <v>63.4</v>
      </c>
      <c r="G599" s="14">
        <v>87.4</v>
      </c>
      <c r="H599" s="14">
        <v>58.6</v>
      </c>
      <c r="I599" s="14">
        <v>39.3</v>
      </c>
      <c r="J599" s="9">
        <v>74.4</v>
      </c>
      <c r="K599" s="14">
        <v>115.8</v>
      </c>
      <c r="L599" s="14">
        <v>138.1</v>
      </c>
      <c r="M599" s="14">
        <v>131.4</v>
      </c>
    </row>
    <row r="600" ht="14.25" customHeight="1">
      <c r="A600" s="15">
        <v>425.0</v>
      </c>
      <c r="B600" s="13" t="s">
        <v>63</v>
      </c>
      <c r="C600" s="9">
        <v>52.7</v>
      </c>
      <c r="D600" s="14">
        <v>35.7</v>
      </c>
      <c r="E600" s="14">
        <v>62.5</v>
      </c>
      <c r="F600" s="14">
        <v>62.9</v>
      </c>
      <c r="G600" s="14">
        <v>85.3</v>
      </c>
      <c r="H600" s="14">
        <v>55.1</v>
      </c>
      <c r="I600" s="14">
        <v>39.1</v>
      </c>
      <c r="J600" s="9">
        <v>73.2</v>
      </c>
      <c r="K600" s="14">
        <v>115.3</v>
      </c>
      <c r="L600" s="14">
        <v>135.1</v>
      </c>
      <c r="M600" s="14">
        <v>129.6</v>
      </c>
    </row>
    <row r="601" ht="14.25" customHeight="1">
      <c r="A601" s="15">
        <v>426.0</v>
      </c>
      <c r="B601" s="13" t="s">
        <v>63</v>
      </c>
      <c r="C601" s="9">
        <v>55.2</v>
      </c>
      <c r="D601" s="14">
        <v>33.8</v>
      </c>
      <c r="E601" s="14">
        <v>61.2</v>
      </c>
      <c r="F601" s="14">
        <v>63.6</v>
      </c>
      <c r="G601" s="14">
        <v>83.4</v>
      </c>
      <c r="H601" s="14">
        <v>55.835677369868435</v>
      </c>
      <c r="I601" s="14">
        <v>37.5</v>
      </c>
      <c r="J601" s="9">
        <v>72.5</v>
      </c>
      <c r="K601" s="14">
        <v>116.6</v>
      </c>
      <c r="L601" s="14">
        <v>135.1</v>
      </c>
      <c r="M601" s="14">
        <v>132.1</v>
      </c>
    </row>
    <row r="602" ht="14.25" customHeight="1">
      <c r="A602" s="15">
        <v>427.0</v>
      </c>
      <c r="B602" s="13" t="s">
        <v>63</v>
      </c>
      <c r="C602" s="9">
        <v>54.2</v>
      </c>
      <c r="D602" s="14">
        <v>36.3</v>
      </c>
      <c r="E602" s="14">
        <v>66.5</v>
      </c>
      <c r="F602" s="14">
        <v>65.4</v>
      </c>
      <c r="G602" s="14">
        <v>85.7</v>
      </c>
      <c r="H602" s="14">
        <v>55.4</v>
      </c>
      <c r="I602" s="14">
        <v>40.8</v>
      </c>
      <c r="J602" s="9">
        <v>74.3</v>
      </c>
      <c r="K602" s="14">
        <v>117.0</v>
      </c>
      <c r="L602" s="14">
        <v>138.1</v>
      </c>
      <c r="M602" s="14">
        <v>132.1</v>
      </c>
    </row>
    <row r="603" ht="14.25" customHeight="1">
      <c r="A603" s="15">
        <v>428.0</v>
      </c>
      <c r="B603" s="13" t="s">
        <v>63</v>
      </c>
      <c r="C603" s="9">
        <v>51.2</v>
      </c>
      <c r="D603" s="14">
        <v>34.1</v>
      </c>
      <c r="E603" s="14">
        <v>66.0</v>
      </c>
      <c r="F603" s="14">
        <v>64.8</v>
      </c>
      <c r="G603" s="14">
        <v>83.0</v>
      </c>
      <c r="H603" s="14">
        <v>56.0</v>
      </c>
      <c r="I603" s="14">
        <v>39.2</v>
      </c>
      <c r="J603" s="9">
        <v>74.3</v>
      </c>
      <c r="K603" s="14">
        <v>117.9</v>
      </c>
      <c r="L603" s="14">
        <v>141.1</v>
      </c>
      <c r="M603" s="14">
        <v>133.5</v>
      </c>
    </row>
    <row r="604" ht="14.25" customHeight="1">
      <c r="A604" s="15">
        <v>429.0</v>
      </c>
      <c r="B604" s="13" t="s">
        <v>63</v>
      </c>
      <c r="C604" s="9">
        <v>53.3</v>
      </c>
      <c r="D604" s="14">
        <v>36.3</v>
      </c>
      <c r="E604" s="14">
        <v>67.5</v>
      </c>
      <c r="F604" s="14">
        <v>64.5</v>
      </c>
      <c r="G604" s="14">
        <v>83.7</v>
      </c>
      <c r="H604" s="14">
        <v>55.6</v>
      </c>
      <c r="I604" s="14">
        <v>41.0</v>
      </c>
      <c r="J604" s="9">
        <v>69.5</v>
      </c>
      <c r="K604" s="14">
        <v>118.8</v>
      </c>
      <c r="L604" s="14">
        <v>136.8</v>
      </c>
      <c r="M604" s="14">
        <v>129.7</v>
      </c>
    </row>
    <row r="605" ht="14.25" customHeight="1">
      <c r="A605" s="15">
        <v>430.0</v>
      </c>
      <c r="B605" s="13" t="s">
        <v>63</v>
      </c>
      <c r="C605" s="9">
        <v>50.2</v>
      </c>
      <c r="D605" s="14">
        <v>34.4</v>
      </c>
      <c r="E605" s="14">
        <v>60.6</v>
      </c>
      <c r="F605" s="14">
        <v>63.1</v>
      </c>
      <c r="G605" s="14">
        <v>84.9</v>
      </c>
      <c r="H605" s="14">
        <v>54.8</v>
      </c>
      <c r="I605" s="14">
        <v>35.5</v>
      </c>
      <c r="J605" s="9">
        <v>69.0</v>
      </c>
      <c r="K605" s="14">
        <v>112.0</v>
      </c>
      <c r="L605" s="14">
        <v>129.3</v>
      </c>
      <c r="M605" s="14">
        <v>125.4</v>
      </c>
    </row>
    <row r="606" ht="14.25" customHeight="1">
      <c r="A606" s="15">
        <v>431.0</v>
      </c>
      <c r="B606" s="13" t="s">
        <v>63</v>
      </c>
      <c r="C606" s="9">
        <v>54.1</v>
      </c>
      <c r="D606" s="14">
        <v>35.5</v>
      </c>
      <c r="E606" s="14">
        <v>66.8</v>
      </c>
      <c r="F606" s="14">
        <v>65.5</v>
      </c>
      <c r="G606" s="14">
        <v>85.2</v>
      </c>
      <c r="H606" s="14">
        <v>57.0</v>
      </c>
      <c r="I606" s="14">
        <v>38.2</v>
      </c>
      <c r="J606" s="9">
        <v>73.90937295163876</v>
      </c>
      <c r="K606" s="14">
        <v>119.3</v>
      </c>
      <c r="L606" s="14">
        <v>139.6</v>
      </c>
      <c r="M606" s="14">
        <v>131.6</v>
      </c>
    </row>
    <row r="607" ht="14.25" customHeight="1">
      <c r="A607" s="15">
        <v>432.0</v>
      </c>
      <c r="B607" s="13" t="s">
        <v>63</v>
      </c>
      <c r="C607" s="9">
        <v>52.8</v>
      </c>
      <c r="D607" s="14">
        <v>34.9</v>
      </c>
      <c r="E607" s="14">
        <v>59.7</v>
      </c>
      <c r="F607" s="14">
        <v>62.4</v>
      </c>
      <c r="G607" s="14">
        <v>81.6</v>
      </c>
      <c r="H607" s="14">
        <v>55.6</v>
      </c>
      <c r="I607" s="14">
        <v>39.0</v>
      </c>
      <c r="J607" s="9">
        <v>74.6</v>
      </c>
      <c r="K607" s="14">
        <v>113.4</v>
      </c>
      <c r="L607" s="14">
        <v>130.5</v>
      </c>
      <c r="M607" s="14">
        <v>128.3</v>
      </c>
    </row>
    <row r="608" ht="14.25" customHeight="1">
      <c r="A608" s="15">
        <v>433.0</v>
      </c>
      <c r="B608" s="13" t="s">
        <v>63</v>
      </c>
      <c r="C608" s="9">
        <v>54.3</v>
      </c>
      <c r="D608" s="14">
        <v>34.0</v>
      </c>
      <c r="E608" s="14">
        <v>63.1</v>
      </c>
      <c r="F608" s="14">
        <v>64.9</v>
      </c>
      <c r="G608" s="14">
        <v>85.4</v>
      </c>
      <c r="H608" s="14">
        <v>58.4</v>
      </c>
      <c r="I608" s="14">
        <v>39.7</v>
      </c>
      <c r="J608" s="9">
        <v>78.4</v>
      </c>
      <c r="K608" s="14">
        <v>117.4</v>
      </c>
      <c r="L608" s="14">
        <v>137.5</v>
      </c>
      <c r="M608" s="14">
        <v>132.3</v>
      </c>
    </row>
    <row r="609" ht="14.25" customHeight="1">
      <c r="A609" s="15">
        <v>434.0</v>
      </c>
      <c r="B609" s="13" t="s">
        <v>63</v>
      </c>
      <c r="C609" s="9">
        <v>56.1</v>
      </c>
      <c r="D609" s="14">
        <v>35.1</v>
      </c>
      <c r="E609" s="14">
        <v>68.7</v>
      </c>
      <c r="F609" s="14">
        <v>65.4</v>
      </c>
      <c r="G609" s="14">
        <v>89.7</v>
      </c>
      <c r="H609" s="14">
        <v>56.2</v>
      </c>
      <c r="I609" s="14">
        <v>39.1</v>
      </c>
      <c r="J609" s="9">
        <v>76.0</v>
      </c>
      <c r="K609" s="14">
        <v>118.6</v>
      </c>
      <c r="L609" s="14">
        <v>141.5</v>
      </c>
      <c r="M609" s="14">
        <v>134.1</v>
      </c>
    </row>
    <row r="610" ht="14.25" customHeight="1">
      <c r="A610" s="15">
        <v>435.0</v>
      </c>
      <c r="B610" s="13" t="s">
        <v>63</v>
      </c>
      <c r="C610" s="9">
        <v>56.3</v>
      </c>
      <c r="D610" s="14">
        <v>37.6</v>
      </c>
      <c r="E610" s="14">
        <v>65.8</v>
      </c>
      <c r="F610" s="14">
        <v>63.9</v>
      </c>
      <c r="G610" s="14">
        <v>83.2</v>
      </c>
      <c r="H610" s="14">
        <v>56.5</v>
      </c>
      <c r="I610" s="14">
        <v>40.2</v>
      </c>
      <c r="J610" s="9">
        <v>74.0</v>
      </c>
      <c r="K610" s="14">
        <v>118.1</v>
      </c>
      <c r="L610" s="14">
        <v>137.3</v>
      </c>
      <c r="M610" s="14">
        <v>130.41369479407052</v>
      </c>
    </row>
    <row r="611" ht="14.25" customHeight="1">
      <c r="A611" s="15">
        <v>436.0</v>
      </c>
      <c r="B611" s="13" t="s">
        <v>63</v>
      </c>
      <c r="C611" s="9">
        <v>54.2</v>
      </c>
      <c r="D611" s="14">
        <v>37.2</v>
      </c>
      <c r="E611" s="14">
        <v>67.5</v>
      </c>
      <c r="F611" s="14">
        <v>63.5</v>
      </c>
      <c r="G611" s="14">
        <v>87.0</v>
      </c>
      <c r="H611" s="14">
        <v>55.8</v>
      </c>
      <c r="I611" s="14">
        <v>41.2</v>
      </c>
      <c r="J611" s="9">
        <v>75.8</v>
      </c>
      <c r="K611" s="14">
        <v>120.0</v>
      </c>
      <c r="L611" s="14">
        <v>138.4</v>
      </c>
      <c r="M611" s="14">
        <v>132.9</v>
      </c>
    </row>
    <row r="612" ht="14.25" customHeight="1">
      <c r="A612" s="15">
        <v>437.0</v>
      </c>
      <c r="B612" s="13" t="s">
        <v>63</v>
      </c>
      <c r="C612" s="9">
        <v>53.4</v>
      </c>
      <c r="D612" s="14">
        <v>37.2</v>
      </c>
      <c r="E612" s="14">
        <v>65.8</v>
      </c>
      <c r="F612" s="14">
        <v>65.6</v>
      </c>
      <c r="G612" s="14">
        <v>88.6</v>
      </c>
      <c r="H612" s="14">
        <v>56.4</v>
      </c>
      <c r="I612" s="14">
        <v>39.6</v>
      </c>
      <c r="J612" s="9">
        <v>72.5</v>
      </c>
      <c r="K612" s="14">
        <v>119.7</v>
      </c>
      <c r="L612" s="14">
        <v>143.1</v>
      </c>
      <c r="M612" s="14">
        <v>136.6</v>
      </c>
    </row>
    <row r="613" ht="14.25" customHeight="1">
      <c r="A613" s="15">
        <v>438.0</v>
      </c>
      <c r="B613" s="13" t="s">
        <v>63</v>
      </c>
      <c r="C613" s="9">
        <v>54.5</v>
      </c>
      <c r="D613" s="14">
        <v>33.3</v>
      </c>
      <c r="E613" s="14">
        <v>68.5</v>
      </c>
      <c r="F613" s="14">
        <v>65.1</v>
      </c>
      <c r="G613" s="14">
        <v>83.8</v>
      </c>
      <c r="H613" s="14">
        <v>56.1</v>
      </c>
      <c r="I613" s="14">
        <v>40.1</v>
      </c>
      <c r="J613" s="9">
        <v>73.4</v>
      </c>
      <c r="K613" s="14">
        <v>120.6</v>
      </c>
      <c r="L613" s="14">
        <v>139.3</v>
      </c>
      <c r="M613" s="14">
        <v>131.6</v>
      </c>
    </row>
    <row r="614" ht="14.25" customHeight="1">
      <c r="A614" s="15">
        <v>439.0</v>
      </c>
      <c r="B614" s="13" t="s">
        <v>63</v>
      </c>
      <c r="C614" s="9">
        <v>54.5</v>
      </c>
      <c r="D614" s="14">
        <v>37.0</v>
      </c>
      <c r="E614" s="14">
        <v>68.3</v>
      </c>
      <c r="F614" s="14">
        <v>63.8</v>
      </c>
      <c r="G614" s="14">
        <v>85.8</v>
      </c>
      <c r="H614" s="14">
        <v>56.7</v>
      </c>
      <c r="I614" s="14">
        <v>40.1</v>
      </c>
      <c r="J614" s="9">
        <v>75.9</v>
      </c>
      <c r="K614" s="14">
        <v>117.5</v>
      </c>
      <c r="L614" s="14">
        <v>141.1</v>
      </c>
      <c r="M614" s="14">
        <v>133.2</v>
      </c>
    </row>
    <row r="615" ht="14.25" customHeight="1">
      <c r="A615" s="15">
        <v>440.0</v>
      </c>
      <c r="B615" s="13" t="s">
        <v>63</v>
      </c>
      <c r="C615" s="9">
        <v>53.9</v>
      </c>
      <c r="D615" s="14">
        <v>36.1</v>
      </c>
      <c r="E615" s="14">
        <v>67.3</v>
      </c>
      <c r="F615" s="14">
        <v>66.6</v>
      </c>
      <c r="G615" s="14">
        <v>89.9</v>
      </c>
      <c r="H615" s="14">
        <v>58.3</v>
      </c>
      <c r="I615" s="14">
        <v>40.8</v>
      </c>
      <c r="J615" s="9">
        <v>77.9</v>
      </c>
      <c r="K615" s="14">
        <v>123.9</v>
      </c>
      <c r="L615" s="14">
        <v>145.3</v>
      </c>
      <c r="M615" s="14">
        <v>138.8</v>
      </c>
    </row>
    <row r="616" ht="14.25" customHeight="1">
      <c r="A616" s="15">
        <v>441.0</v>
      </c>
      <c r="B616" s="13" t="s">
        <v>63</v>
      </c>
      <c r="C616" s="9">
        <v>51.4</v>
      </c>
      <c r="D616" s="14">
        <v>36.25314949868647</v>
      </c>
      <c r="E616" s="14">
        <v>69.1</v>
      </c>
      <c r="F616" s="14">
        <v>63.2</v>
      </c>
      <c r="G616" s="14">
        <v>81.8</v>
      </c>
      <c r="H616" s="14">
        <v>54.1</v>
      </c>
      <c r="I616" s="14">
        <v>40.2</v>
      </c>
      <c r="J616" s="9">
        <v>71.22106783644736</v>
      </c>
      <c r="K616" s="14">
        <v>114.1</v>
      </c>
      <c r="L616" s="14">
        <v>131.4</v>
      </c>
      <c r="M616" s="14">
        <v>127.4</v>
      </c>
    </row>
    <row r="617" ht="14.25" customHeight="1">
      <c r="A617" s="15">
        <v>442.0</v>
      </c>
      <c r="B617" s="13" t="s">
        <v>63</v>
      </c>
      <c r="C617" s="9">
        <v>49.5</v>
      </c>
      <c r="D617" s="14">
        <v>37.4</v>
      </c>
      <c r="E617" s="14">
        <v>67.1</v>
      </c>
      <c r="F617" s="14">
        <v>64.0</v>
      </c>
      <c r="G617" s="14">
        <v>85.7</v>
      </c>
      <c r="H617" s="14">
        <v>58.9</v>
      </c>
      <c r="I617" s="14">
        <v>40.2</v>
      </c>
      <c r="J617" s="9">
        <v>74.52821069743688</v>
      </c>
      <c r="K617" s="14">
        <v>117.8</v>
      </c>
      <c r="L617" s="14">
        <v>138.7</v>
      </c>
      <c r="M617" s="14">
        <v>133.3</v>
      </c>
    </row>
    <row r="618" ht="14.25" customHeight="1">
      <c r="A618" s="15">
        <v>443.0</v>
      </c>
      <c r="B618" s="13" t="s">
        <v>63</v>
      </c>
      <c r="C618" s="9">
        <v>52.17077642056753</v>
      </c>
      <c r="D618" s="14">
        <v>37.7</v>
      </c>
      <c r="E618" s="14">
        <v>60.8</v>
      </c>
      <c r="F618" s="14">
        <v>61.0</v>
      </c>
      <c r="G618" s="14">
        <v>82.7</v>
      </c>
      <c r="H618" s="14">
        <v>55.4</v>
      </c>
      <c r="I618" s="14">
        <v>37.5</v>
      </c>
      <c r="J618" s="9">
        <v>74.57152113563224</v>
      </c>
      <c r="K618" s="14">
        <v>115.7</v>
      </c>
      <c r="L618" s="14">
        <v>130.8</v>
      </c>
      <c r="M618" s="14">
        <v>136.5</v>
      </c>
    </row>
    <row r="619" ht="14.25" customHeight="1">
      <c r="A619" s="15">
        <v>444.0</v>
      </c>
      <c r="B619" s="13" t="s">
        <v>63</v>
      </c>
      <c r="C619" s="9">
        <v>52.2</v>
      </c>
      <c r="D619" s="14">
        <v>36.2</v>
      </c>
      <c r="E619" s="14">
        <v>59.22666650627806</v>
      </c>
      <c r="F619" s="14">
        <v>62.1</v>
      </c>
      <c r="G619" s="14">
        <v>81.0</v>
      </c>
      <c r="H619" s="14">
        <v>53.9</v>
      </c>
      <c r="I619" s="14">
        <v>39.0</v>
      </c>
      <c r="J619" s="9">
        <v>69.0</v>
      </c>
      <c r="K619" s="14">
        <v>109.5</v>
      </c>
      <c r="L619" s="14">
        <v>121.6</v>
      </c>
      <c r="M619" s="14">
        <v>118.8319308077713</v>
      </c>
    </row>
    <row r="620" ht="14.25" customHeight="1">
      <c r="A620" s="15">
        <v>445.0</v>
      </c>
      <c r="B620" s="13" t="s">
        <v>63</v>
      </c>
      <c r="C620" s="9">
        <v>54.9</v>
      </c>
      <c r="D620" s="14">
        <v>38.6</v>
      </c>
      <c r="E620" s="14">
        <v>68.7</v>
      </c>
      <c r="F620" s="14">
        <v>66.2</v>
      </c>
      <c r="G620" s="14">
        <v>86.6</v>
      </c>
      <c r="H620" s="14">
        <v>57.2</v>
      </c>
      <c r="I620" s="14">
        <v>40.72609021939127</v>
      </c>
      <c r="J620" s="9">
        <v>73.06234361964188</v>
      </c>
      <c r="K620" s="14">
        <v>120.0</v>
      </c>
      <c r="L620" s="14">
        <v>138.0</v>
      </c>
      <c r="M620" s="14">
        <v>130.0</v>
      </c>
    </row>
    <row r="621" ht="14.25" customHeight="1">
      <c r="A621" s="15">
        <v>446.0</v>
      </c>
      <c r="B621" s="13" t="s">
        <v>63</v>
      </c>
      <c r="C621" s="9">
        <v>53.8</v>
      </c>
      <c r="D621" s="14">
        <v>36.1</v>
      </c>
      <c r="E621" s="14">
        <v>65.2</v>
      </c>
      <c r="F621" s="14">
        <v>64.6</v>
      </c>
      <c r="G621" s="14">
        <v>86.6</v>
      </c>
      <c r="H621" s="14">
        <v>55.8</v>
      </c>
      <c r="I621" s="14">
        <v>37.4</v>
      </c>
      <c r="J621" s="9">
        <v>75.8</v>
      </c>
      <c r="K621" s="14">
        <v>121.3</v>
      </c>
      <c r="L621" s="14">
        <v>138.9</v>
      </c>
      <c r="M621" s="14">
        <v>132.0</v>
      </c>
    </row>
    <row r="622" ht="14.25" customHeight="1">
      <c r="A622" s="15">
        <v>447.0</v>
      </c>
      <c r="B622" s="13" t="s">
        <v>63</v>
      </c>
      <c r="C622" s="9">
        <v>52.42277311047142</v>
      </c>
      <c r="D622" s="14">
        <v>36.8</v>
      </c>
      <c r="E622" s="14">
        <v>64.5</v>
      </c>
      <c r="F622" s="14">
        <v>65.0</v>
      </c>
      <c r="G622" s="14">
        <v>83.1</v>
      </c>
      <c r="H622" s="14">
        <v>56.9</v>
      </c>
      <c r="I622" s="14">
        <v>38.3</v>
      </c>
      <c r="J622" s="9">
        <v>72.3</v>
      </c>
      <c r="K622" s="14">
        <v>118.1</v>
      </c>
      <c r="L622" s="14">
        <v>137.5</v>
      </c>
      <c r="M622" s="14">
        <v>130.3</v>
      </c>
    </row>
    <row r="623" ht="14.25" customHeight="1">
      <c r="A623" s="15">
        <v>448.0</v>
      </c>
      <c r="B623" s="13" t="s">
        <v>63</v>
      </c>
      <c r="C623" s="9">
        <v>50.7</v>
      </c>
      <c r="D623" s="14">
        <v>33.8</v>
      </c>
      <c r="E623" s="14">
        <v>63.0</v>
      </c>
      <c r="F623" s="14">
        <v>63.5</v>
      </c>
      <c r="G623" s="14">
        <v>83.3</v>
      </c>
      <c r="H623" s="14">
        <v>55.5</v>
      </c>
      <c r="I623" s="14">
        <v>38.8</v>
      </c>
      <c r="J623" s="9">
        <v>74.0</v>
      </c>
      <c r="K623" s="14">
        <v>114.7</v>
      </c>
      <c r="L623" s="14">
        <v>133.6</v>
      </c>
      <c r="M623" s="14">
        <v>127.9</v>
      </c>
    </row>
    <row r="624" ht="14.25" customHeight="1">
      <c r="A624" s="15">
        <v>449.0</v>
      </c>
      <c r="B624" s="13" t="s">
        <v>63</v>
      </c>
      <c r="C624" s="9">
        <v>48.3</v>
      </c>
      <c r="D624" s="14">
        <v>34.8</v>
      </c>
      <c r="E624" s="14">
        <v>57.0</v>
      </c>
      <c r="F624" s="14">
        <v>61.8</v>
      </c>
      <c r="G624" s="14">
        <v>83.3</v>
      </c>
      <c r="H624" s="14">
        <v>55.2</v>
      </c>
      <c r="I624" s="14">
        <v>36.9</v>
      </c>
      <c r="J624" s="9">
        <v>73.45917188810157</v>
      </c>
      <c r="K624" s="14">
        <v>114.5</v>
      </c>
      <c r="L624" s="14">
        <v>132.4</v>
      </c>
      <c r="M624" s="14">
        <v>125.5</v>
      </c>
    </row>
    <row r="625" ht="14.25" customHeight="1">
      <c r="A625" s="15">
        <v>450.0</v>
      </c>
      <c r="B625" s="13" t="s">
        <v>63</v>
      </c>
      <c r="C625" s="9">
        <v>53.2</v>
      </c>
      <c r="D625" s="14">
        <v>31.3</v>
      </c>
      <c r="E625" s="14">
        <v>61.5</v>
      </c>
      <c r="F625" s="14">
        <v>63.1</v>
      </c>
      <c r="G625" s="14">
        <v>82.5</v>
      </c>
      <c r="H625" s="14">
        <v>55.8</v>
      </c>
      <c r="I625" s="14">
        <v>39.0</v>
      </c>
      <c r="J625" s="9">
        <v>73.9</v>
      </c>
      <c r="K625" s="14">
        <v>112.9</v>
      </c>
      <c r="L625" s="14">
        <v>133.9</v>
      </c>
      <c r="M625" s="14">
        <v>126.5</v>
      </c>
    </row>
    <row r="626" ht="14.25" customHeight="1">
      <c r="A626" s="15">
        <v>451.0</v>
      </c>
      <c r="B626" s="13" t="s">
        <v>63</v>
      </c>
      <c r="C626" s="9">
        <v>51.6</v>
      </c>
      <c r="D626" s="14">
        <v>32.7</v>
      </c>
      <c r="E626" s="14">
        <v>62.9</v>
      </c>
      <c r="F626" s="14">
        <v>61.3</v>
      </c>
      <c r="G626" s="14">
        <v>80.5</v>
      </c>
      <c r="H626" s="14">
        <v>53.2</v>
      </c>
      <c r="I626" s="14">
        <v>39.8</v>
      </c>
      <c r="J626" s="9">
        <v>72.6</v>
      </c>
      <c r="K626" s="14">
        <v>111.3</v>
      </c>
      <c r="L626" s="14">
        <v>129.4</v>
      </c>
      <c r="M626" s="14">
        <v>123.7</v>
      </c>
    </row>
    <row r="627" ht="14.25" customHeight="1">
      <c r="A627" s="15">
        <v>452.0</v>
      </c>
      <c r="B627" s="13" t="s">
        <v>63</v>
      </c>
      <c r="C627" s="9">
        <v>51.8</v>
      </c>
      <c r="D627" s="14">
        <v>37.8</v>
      </c>
      <c r="E627" s="14">
        <v>62.9</v>
      </c>
      <c r="F627" s="14">
        <v>64.3</v>
      </c>
      <c r="G627" s="14">
        <v>83.2</v>
      </c>
      <c r="H627" s="14">
        <v>56.1</v>
      </c>
      <c r="I627" s="14">
        <v>40.1</v>
      </c>
      <c r="J627" s="9">
        <v>73.6</v>
      </c>
      <c r="K627" s="14">
        <v>116.6</v>
      </c>
      <c r="L627" s="14">
        <v>137.2</v>
      </c>
      <c r="M627" s="14">
        <v>131.0</v>
      </c>
    </row>
    <row r="628" ht="14.25" customHeight="1">
      <c r="A628" s="15">
        <v>453.0</v>
      </c>
      <c r="B628" s="13" t="s">
        <v>63</v>
      </c>
      <c r="C628" s="9">
        <v>55.7</v>
      </c>
      <c r="D628" s="14">
        <v>35.7</v>
      </c>
      <c r="E628" s="14">
        <v>65.7</v>
      </c>
      <c r="F628" s="14">
        <v>63.5</v>
      </c>
      <c r="G628" s="14">
        <v>84.2</v>
      </c>
      <c r="H628" s="14">
        <v>55.0</v>
      </c>
      <c r="I628" s="14">
        <v>40.1</v>
      </c>
      <c r="J628" s="9">
        <v>78.2</v>
      </c>
      <c r="K628" s="14">
        <v>117.7</v>
      </c>
      <c r="L628" s="14">
        <v>136.5</v>
      </c>
      <c r="M628" s="14">
        <v>129.0</v>
      </c>
    </row>
    <row r="629" ht="14.25" customHeight="1">
      <c r="A629" s="15">
        <v>454.0</v>
      </c>
      <c r="B629" s="13" t="s">
        <v>63</v>
      </c>
      <c r="C629" s="9">
        <v>52.6</v>
      </c>
      <c r="D629" s="14">
        <v>36.3</v>
      </c>
      <c r="E629" s="14">
        <v>63.2</v>
      </c>
      <c r="F629" s="14">
        <v>60.5</v>
      </c>
      <c r="G629" s="14">
        <v>81.1</v>
      </c>
      <c r="H629" s="14">
        <v>54.5</v>
      </c>
      <c r="I629" s="14">
        <v>40.1</v>
      </c>
      <c r="J629" s="9">
        <v>75.8</v>
      </c>
      <c r="K629" s="14">
        <v>113.9</v>
      </c>
      <c r="L629" s="14">
        <v>131.8</v>
      </c>
      <c r="M629" s="14">
        <v>125.0</v>
      </c>
    </row>
    <row r="630" ht="14.25" customHeight="1">
      <c r="A630" s="15">
        <v>455.0</v>
      </c>
      <c r="B630" s="13" t="s">
        <v>63</v>
      </c>
      <c r="C630" s="9">
        <v>54.0</v>
      </c>
      <c r="D630" s="14">
        <v>34.6</v>
      </c>
      <c r="E630" s="14">
        <v>62.7</v>
      </c>
      <c r="F630" s="14">
        <v>63.8</v>
      </c>
      <c r="G630" s="14">
        <v>84.50213014755779</v>
      </c>
      <c r="H630" s="14">
        <v>56.9</v>
      </c>
      <c r="I630" s="14">
        <v>38.4</v>
      </c>
      <c r="J630" s="9">
        <v>75.5</v>
      </c>
      <c r="K630" s="14">
        <v>118.8</v>
      </c>
      <c r="L630" s="14">
        <v>136.2</v>
      </c>
      <c r="M630" s="14">
        <v>129.9</v>
      </c>
    </row>
    <row r="631" ht="14.25" customHeight="1">
      <c r="A631" s="15">
        <v>456.0</v>
      </c>
      <c r="B631" s="13" t="s">
        <v>63</v>
      </c>
      <c r="C631" s="9">
        <v>51.7</v>
      </c>
      <c r="D631" s="14">
        <v>34.5</v>
      </c>
      <c r="E631" s="14">
        <v>64.2</v>
      </c>
      <c r="F631" s="14">
        <v>63.4</v>
      </c>
      <c r="G631" s="14">
        <v>83.67692145392203</v>
      </c>
      <c r="H631" s="14">
        <v>56.2</v>
      </c>
      <c r="I631" s="14">
        <v>37.0</v>
      </c>
      <c r="J631" s="9">
        <v>78.4</v>
      </c>
      <c r="K631" s="14">
        <v>115.4</v>
      </c>
      <c r="L631" s="14">
        <v>134.5</v>
      </c>
      <c r="M631" s="14">
        <v>128.5</v>
      </c>
    </row>
    <row r="632" ht="14.25" customHeight="1">
      <c r="A632" s="15">
        <v>457.0</v>
      </c>
      <c r="B632" s="13" t="s">
        <v>63</v>
      </c>
      <c r="C632" s="9">
        <v>52.9</v>
      </c>
      <c r="D632" s="14">
        <v>34.5</v>
      </c>
      <c r="E632" s="14">
        <v>64.7</v>
      </c>
      <c r="F632" s="14">
        <v>61.2</v>
      </c>
      <c r="G632" s="14">
        <v>78.6</v>
      </c>
      <c r="H632" s="14">
        <v>54.9</v>
      </c>
      <c r="I632" s="14">
        <v>37.4</v>
      </c>
      <c r="J632" s="9">
        <v>74.70200614372442</v>
      </c>
      <c r="K632" s="14">
        <v>114.2</v>
      </c>
      <c r="L632" s="14">
        <v>132.3</v>
      </c>
      <c r="M632" s="14">
        <v>127.0</v>
      </c>
    </row>
    <row r="633" ht="14.25" customHeight="1">
      <c r="A633" s="15">
        <v>458.0</v>
      </c>
      <c r="B633" s="13" t="s">
        <v>63</v>
      </c>
      <c r="C633" s="9">
        <v>54.3</v>
      </c>
      <c r="D633" s="14">
        <v>35.3</v>
      </c>
      <c r="E633" s="14">
        <v>64.1</v>
      </c>
      <c r="F633" s="14">
        <v>63.6</v>
      </c>
      <c r="G633" s="14">
        <v>83.2</v>
      </c>
      <c r="H633" s="14">
        <v>54.3</v>
      </c>
      <c r="I633" s="14">
        <v>40.4</v>
      </c>
      <c r="J633" s="9">
        <v>74.3</v>
      </c>
      <c r="K633" s="14">
        <v>117.2</v>
      </c>
      <c r="L633" s="14">
        <v>136.5</v>
      </c>
      <c r="M633" s="14">
        <v>130.4</v>
      </c>
    </row>
    <row r="634" ht="14.25" customHeight="1">
      <c r="A634" s="15">
        <v>459.0</v>
      </c>
      <c r="B634" s="13" t="s">
        <v>63</v>
      </c>
      <c r="C634" s="9">
        <v>55.8</v>
      </c>
      <c r="D634" s="14">
        <v>35.4</v>
      </c>
      <c r="E634" s="14">
        <v>65.4</v>
      </c>
      <c r="F634" s="14">
        <v>62.3</v>
      </c>
      <c r="G634" s="14">
        <v>80.7</v>
      </c>
      <c r="H634" s="14">
        <v>55.2</v>
      </c>
      <c r="I634" s="14">
        <v>40.54950619260109</v>
      </c>
      <c r="J634" s="9">
        <v>75.1198357797214</v>
      </c>
      <c r="K634" s="14">
        <v>115.0</v>
      </c>
      <c r="L634" s="14">
        <v>133.2</v>
      </c>
      <c r="M634" s="14">
        <v>126.1</v>
      </c>
    </row>
    <row r="635" ht="14.25" customHeight="1">
      <c r="A635" s="15">
        <v>1.0</v>
      </c>
      <c r="B635" s="13" t="s">
        <v>64</v>
      </c>
      <c r="C635" s="9">
        <v>57.5</v>
      </c>
      <c r="D635" s="14">
        <v>41.1</v>
      </c>
      <c r="E635" s="14">
        <v>68.87917461027216</v>
      </c>
      <c r="F635" s="14">
        <v>67.2</v>
      </c>
      <c r="G635" s="14">
        <v>85.5</v>
      </c>
      <c r="H635" s="14">
        <v>53.6</v>
      </c>
      <c r="I635" s="14">
        <v>43.9</v>
      </c>
      <c r="J635" s="9">
        <v>79.7</v>
      </c>
      <c r="K635" s="14">
        <v>125.9</v>
      </c>
      <c r="L635" s="14">
        <v>145.4</v>
      </c>
      <c r="M635" s="14">
        <v>138.3</v>
      </c>
    </row>
    <row r="636" ht="14.25" customHeight="1">
      <c r="A636" s="15">
        <v>2.0</v>
      </c>
      <c r="B636" s="13" t="s">
        <v>64</v>
      </c>
      <c r="C636" s="9">
        <v>58.4</v>
      </c>
      <c r="D636" s="14">
        <v>38.7</v>
      </c>
      <c r="E636" s="14">
        <v>71.5</v>
      </c>
      <c r="F636" s="14">
        <v>69.9</v>
      </c>
      <c r="G636" s="14">
        <v>89.1</v>
      </c>
      <c r="H636" s="14">
        <v>56.6</v>
      </c>
      <c r="I636" s="14">
        <v>45.3</v>
      </c>
      <c r="J636" s="9">
        <v>82.1</v>
      </c>
      <c r="K636" s="14">
        <v>127.6</v>
      </c>
      <c r="L636" s="14">
        <v>145.8</v>
      </c>
      <c r="M636" s="14">
        <v>138.4</v>
      </c>
    </row>
    <row r="637" ht="14.25" customHeight="1">
      <c r="A637" s="15">
        <v>3.0</v>
      </c>
      <c r="B637" s="13" t="s">
        <v>64</v>
      </c>
      <c r="C637" s="9">
        <v>58.7</v>
      </c>
      <c r="D637" s="14">
        <v>40.3</v>
      </c>
      <c r="E637" s="14">
        <v>70.9</v>
      </c>
      <c r="F637" s="14">
        <v>67.4</v>
      </c>
      <c r="G637" s="14">
        <v>83.78229780962654</v>
      </c>
      <c r="H637" s="14">
        <v>53.3</v>
      </c>
      <c r="I637" s="14">
        <v>44.2</v>
      </c>
      <c r="J637" s="9">
        <v>79.1</v>
      </c>
      <c r="K637" s="14">
        <v>121.8</v>
      </c>
      <c r="L637" s="14">
        <v>140.0</v>
      </c>
      <c r="M637" s="14">
        <v>132.5</v>
      </c>
    </row>
    <row r="638" ht="14.25" customHeight="1">
      <c r="A638" s="15">
        <v>4.0</v>
      </c>
      <c r="B638" s="13" t="s">
        <v>64</v>
      </c>
      <c r="C638" s="9">
        <v>59.0</v>
      </c>
      <c r="D638" s="14">
        <v>42.7</v>
      </c>
      <c r="E638" s="14">
        <v>69.4</v>
      </c>
      <c r="F638" s="14">
        <v>68.4</v>
      </c>
      <c r="G638" s="14">
        <v>84.5</v>
      </c>
      <c r="H638" s="14">
        <v>55.0</v>
      </c>
      <c r="I638" s="14">
        <v>44.9</v>
      </c>
      <c r="J638" s="9">
        <v>80.6</v>
      </c>
      <c r="K638" s="14">
        <v>123.0</v>
      </c>
      <c r="L638" s="14">
        <v>139.3</v>
      </c>
      <c r="M638" s="14">
        <v>132.8</v>
      </c>
    </row>
    <row r="639" ht="14.25" customHeight="1">
      <c r="A639" s="15">
        <v>5.0</v>
      </c>
      <c r="B639" s="13" t="s">
        <v>64</v>
      </c>
      <c r="C639" s="9">
        <v>60.1</v>
      </c>
      <c r="D639" s="14">
        <v>41.6</v>
      </c>
      <c r="E639" s="14">
        <v>71.0</v>
      </c>
      <c r="F639" s="14">
        <v>67.8</v>
      </c>
      <c r="G639" s="14">
        <v>88.7</v>
      </c>
      <c r="H639" s="14">
        <v>55.8</v>
      </c>
      <c r="I639" s="14">
        <v>43.7</v>
      </c>
      <c r="J639" s="9">
        <v>82.2</v>
      </c>
      <c r="K639" s="14">
        <v>127.1</v>
      </c>
      <c r="L639" s="14">
        <v>144.3</v>
      </c>
      <c r="M639" s="14">
        <v>135.2</v>
      </c>
    </row>
    <row r="640" ht="14.25" customHeight="1">
      <c r="A640" s="15">
        <v>6.0</v>
      </c>
      <c r="B640" s="13" t="s">
        <v>64</v>
      </c>
      <c r="C640" s="9">
        <v>59.2</v>
      </c>
      <c r="D640" s="14">
        <v>42.5</v>
      </c>
      <c r="E640" s="14">
        <v>69.1</v>
      </c>
      <c r="F640" s="14">
        <v>69.7</v>
      </c>
      <c r="G640" s="14">
        <v>89.7</v>
      </c>
      <c r="H640" s="14">
        <v>56.3</v>
      </c>
      <c r="I640" s="14">
        <v>44.9</v>
      </c>
      <c r="J640" s="9">
        <v>83.7</v>
      </c>
      <c r="K640" s="14">
        <v>127.0</v>
      </c>
      <c r="L640" s="14">
        <v>145.9</v>
      </c>
      <c r="M640" s="14">
        <v>138.9</v>
      </c>
    </row>
    <row r="641" ht="14.25" customHeight="1">
      <c r="A641" s="15">
        <v>7.0</v>
      </c>
      <c r="B641" s="13" t="s">
        <v>64</v>
      </c>
      <c r="C641" s="9">
        <v>60.6</v>
      </c>
      <c r="D641" s="14">
        <v>41.9</v>
      </c>
      <c r="E641" s="14">
        <v>68.4</v>
      </c>
      <c r="F641" s="14">
        <v>67.1</v>
      </c>
      <c r="G641" s="14">
        <v>83.8</v>
      </c>
      <c r="H641" s="14">
        <v>53.2</v>
      </c>
      <c r="I641" s="14">
        <v>44.5</v>
      </c>
      <c r="J641" s="9">
        <v>79.1</v>
      </c>
      <c r="K641" s="14">
        <v>119.8</v>
      </c>
      <c r="L641" s="14">
        <v>140.5</v>
      </c>
      <c r="M641" s="14">
        <v>133.6</v>
      </c>
    </row>
    <row r="642" ht="14.25" customHeight="1">
      <c r="A642" s="15">
        <v>8.0</v>
      </c>
      <c r="B642" s="13" t="s">
        <v>64</v>
      </c>
      <c r="C642" s="9">
        <v>59.2</v>
      </c>
      <c r="D642" s="14">
        <v>42.2</v>
      </c>
      <c r="E642" s="14">
        <v>72.2</v>
      </c>
      <c r="F642" s="14">
        <v>70.6</v>
      </c>
      <c r="G642" s="14">
        <v>88.1</v>
      </c>
      <c r="H642" s="14">
        <v>56.3</v>
      </c>
      <c r="I642" s="14">
        <v>44.6</v>
      </c>
      <c r="J642" s="9">
        <v>80.6</v>
      </c>
      <c r="K642" s="14">
        <v>126.4</v>
      </c>
      <c r="L642" s="14">
        <v>144.2</v>
      </c>
      <c r="M642" s="14">
        <v>137.7</v>
      </c>
    </row>
    <row r="643" ht="14.25" customHeight="1">
      <c r="A643" s="15">
        <v>9.0</v>
      </c>
      <c r="B643" s="13" t="s">
        <v>64</v>
      </c>
      <c r="C643" s="9">
        <v>57.6</v>
      </c>
      <c r="D643" s="14">
        <v>40.9</v>
      </c>
      <c r="E643" s="14">
        <v>68.7</v>
      </c>
      <c r="F643" s="14">
        <v>65.5</v>
      </c>
      <c r="G643" s="14">
        <v>82.4</v>
      </c>
      <c r="H643" s="14">
        <v>52.7</v>
      </c>
      <c r="I643" s="14">
        <v>43.6</v>
      </c>
      <c r="J643" s="9">
        <v>77.7</v>
      </c>
      <c r="K643" s="14">
        <v>120.49564471725076</v>
      </c>
      <c r="L643" s="14">
        <v>138.95820592514772</v>
      </c>
      <c r="M643" s="14">
        <v>131.65887990680255</v>
      </c>
    </row>
    <row r="644" ht="14.25" customHeight="1">
      <c r="A644" s="15">
        <v>10.0</v>
      </c>
      <c r="B644" s="13" t="s">
        <v>64</v>
      </c>
      <c r="C644" s="9">
        <v>57.2</v>
      </c>
      <c r="D644" s="14">
        <v>38.5</v>
      </c>
      <c r="E644" s="14">
        <v>69.28295071195771</v>
      </c>
      <c r="F644" s="14">
        <v>68.6</v>
      </c>
      <c r="G644" s="14">
        <v>86.7</v>
      </c>
      <c r="H644" s="14">
        <v>56.7</v>
      </c>
      <c r="I644" s="14">
        <v>45.2</v>
      </c>
      <c r="J644" s="9">
        <v>77.7</v>
      </c>
      <c r="K644" s="14">
        <v>122.9</v>
      </c>
      <c r="L644" s="14">
        <v>141.3</v>
      </c>
      <c r="M644" s="14">
        <v>135.0</v>
      </c>
    </row>
    <row r="645" ht="14.25" customHeight="1">
      <c r="A645" s="15">
        <v>11.0</v>
      </c>
      <c r="B645" s="13" t="s">
        <v>64</v>
      </c>
      <c r="C645" s="9">
        <v>58.8</v>
      </c>
      <c r="D645" s="14">
        <v>41.8</v>
      </c>
      <c r="E645" s="14">
        <v>71.8</v>
      </c>
      <c r="F645" s="14">
        <v>69.6</v>
      </c>
      <c r="G645" s="14">
        <v>88.5</v>
      </c>
      <c r="H645" s="14">
        <v>56.5</v>
      </c>
      <c r="I645" s="14">
        <v>45.1</v>
      </c>
      <c r="J645" s="9">
        <v>80.4</v>
      </c>
      <c r="K645" s="14">
        <v>125.2</v>
      </c>
      <c r="L645" s="14">
        <v>143.5</v>
      </c>
      <c r="M645" s="14">
        <v>135.3</v>
      </c>
    </row>
    <row r="646" ht="14.25" customHeight="1">
      <c r="A646" s="15">
        <v>12.0</v>
      </c>
      <c r="B646" s="13" t="s">
        <v>64</v>
      </c>
      <c r="C646" s="9">
        <v>56.7</v>
      </c>
      <c r="D646" s="14">
        <v>40.7</v>
      </c>
      <c r="E646" s="14">
        <v>73.1</v>
      </c>
      <c r="F646" s="14">
        <v>67.4</v>
      </c>
      <c r="G646" s="14">
        <v>84.0</v>
      </c>
      <c r="H646" s="14">
        <v>54.4</v>
      </c>
      <c r="I646" s="14">
        <v>44.6</v>
      </c>
      <c r="J646" s="9">
        <v>79.0</v>
      </c>
      <c r="K646" s="14">
        <v>119.5</v>
      </c>
      <c r="L646" s="14">
        <v>140.2</v>
      </c>
      <c r="M646" s="14">
        <v>132.7</v>
      </c>
    </row>
    <row r="647" ht="14.25" customHeight="1">
      <c r="A647" s="15">
        <v>14.0</v>
      </c>
      <c r="B647" s="13" t="s">
        <v>64</v>
      </c>
      <c r="C647" s="9">
        <v>55.7</v>
      </c>
      <c r="D647" s="14">
        <v>40.7</v>
      </c>
      <c r="E647" s="14">
        <v>68.3</v>
      </c>
      <c r="F647" s="14">
        <v>65.9</v>
      </c>
      <c r="G647" s="14">
        <v>81.9</v>
      </c>
      <c r="H647" s="14">
        <v>52.1</v>
      </c>
      <c r="I647" s="14">
        <v>42.3</v>
      </c>
      <c r="J647" s="9">
        <v>78.6</v>
      </c>
      <c r="K647" s="14">
        <v>120.1</v>
      </c>
      <c r="L647" s="14">
        <v>134.6</v>
      </c>
      <c r="M647" s="14">
        <v>127.7</v>
      </c>
    </row>
    <row r="648" ht="14.25" customHeight="1">
      <c r="A648" s="15">
        <v>15.0</v>
      </c>
      <c r="B648" s="13" t="s">
        <v>64</v>
      </c>
      <c r="C648" s="9">
        <v>60.1</v>
      </c>
      <c r="D648" s="14">
        <v>41.2</v>
      </c>
      <c r="E648" s="14">
        <v>70.3</v>
      </c>
      <c r="F648" s="14">
        <v>69.7</v>
      </c>
      <c r="G648" s="14">
        <v>88.0</v>
      </c>
      <c r="H648" s="14">
        <v>56.1</v>
      </c>
      <c r="I648" s="14">
        <v>43.6</v>
      </c>
      <c r="J648" s="9">
        <v>77.7</v>
      </c>
      <c r="K648" s="14">
        <v>126.2</v>
      </c>
      <c r="L648" s="14">
        <v>145.0</v>
      </c>
      <c r="M648" s="14">
        <v>138.3</v>
      </c>
    </row>
    <row r="649" ht="14.25" customHeight="1">
      <c r="A649" s="15">
        <v>16.0</v>
      </c>
      <c r="B649" s="13" t="s">
        <v>64</v>
      </c>
      <c r="C649" s="9">
        <v>59.1</v>
      </c>
      <c r="D649" s="14">
        <v>41.6</v>
      </c>
      <c r="E649" s="14">
        <v>67.03282007461885</v>
      </c>
      <c r="F649" s="14">
        <v>65.1</v>
      </c>
      <c r="G649" s="14">
        <v>82.1</v>
      </c>
      <c r="H649" s="14">
        <v>53.1</v>
      </c>
      <c r="I649" s="14">
        <v>43.6</v>
      </c>
      <c r="J649" s="9">
        <v>77.9</v>
      </c>
      <c r="K649" s="14">
        <v>121.8</v>
      </c>
      <c r="L649" s="14">
        <v>140.5</v>
      </c>
      <c r="M649" s="14">
        <v>134.3</v>
      </c>
    </row>
    <row r="650" ht="14.25" customHeight="1">
      <c r="A650" s="15">
        <v>17.0</v>
      </c>
      <c r="B650" s="13" t="s">
        <v>64</v>
      </c>
      <c r="C650" s="9">
        <v>55.3</v>
      </c>
      <c r="D650" s="14">
        <v>39.8</v>
      </c>
      <c r="E650" s="14">
        <v>72.65892875898273</v>
      </c>
      <c r="F650" s="14">
        <v>68.0</v>
      </c>
      <c r="G650" s="14">
        <v>85.7</v>
      </c>
      <c r="H650" s="14">
        <v>54.5</v>
      </c>
      <c r="I650" s="14">
        <v>43.8</v>
      </c>
      <c r="J650" s="9">
        <v>78.0</v>
      </c>
      <c r="K650" s="14">
        <v>121.3</v>
      </c>
      <c r="L650" s="14">
        <v>142.3</v>
      </c>
      <c r="M650" s="14">
        <v>133.9</v>
      </c>
    </row>
    <row r="651" ht="14.25" customHeight="1">
      <c r="A651" s="15">
        <v>18.0</v>
      </c>
      <c r="B651" s="13" t="s">
        <v>64</v>
      </c>
      <c r="C651" s="9">
        <v>56.9</v>
      </c>
      <c r="D651" s="14">
        <v>42.1</v>
      </c>
      <c r="E651" s="14">
        <v>71.1</v>
      </c>
      <c r="F651" s="14">
        <v>69.2</v>
      </c>
      <c r="G651" s="14">
        <v>88.5</v>
      </c>
      <c r="H651" s="14">
        <v>55.5</v>
      </c>
      <c r="I651" s="14">
        <v>45.2</v>
      </c>
      <c r="J651" s="9">
        <v>82.3</v>
      </c>
      <c r="K651" s="14">
        <v>126.0</v>
      </c>
      <c r="L651" s="14">
        <v>144.8</v>
      </c>
      <c r="M651" s="14">
        <v>137.6</v>
      </c>
    </row>
    <row r="652" ht="14.25" customHeight="1">
      <c r="A652" s="15">
        <v>19.0</v>
      </c>
      <c r="B652" s="13" t="s">
        <v>64</v>
      </c>
      <c r="C652" s="9">
        <v>58.8</v>
      </c>
      <c r="D652" s="14">
        <v>40.8</v>
      </c>
      <c r="E652" s="14">
        <v>73.0</v>
      </c>
      <c r="F652" s="14">
        <v>66.9</v>
      </c>
      <c r="G652" s="14">
        <v>87.6</v>
      </c>
      <c r="H652" s="14">
        <v>55.8</v>
      </c>
      <c r="I652" s="14">
        <v>43.1</v>
      </c>
      <c r="J652" s="9">
        <v>79.4</v>
      </c>
      <c r="K652" s="14">
        <v>125.7</v>
      </c>
      <c r="L652" s="14">
        <v>146.4</v>
      </c>
      <c r="M652" s="14">
        <v>137.4</v>
      </c>
    </row>
    <row r="653" ht="14.25" customHeight="1">
      <c r="A653" s="15">
        <v>20.0</v>
      </c>
      <c r="B653" s="13" t="s">
        <v>64</v>
      </c>
      <c r="C653" s="9">
        <v>57.0</v>
      </c>
      <c r="D653" s="14">
        <v>41.6</v>
      </c>
      <c r="E653" s="14">
        <v>72.76524898442658</v>
      </c>
      <c r="F653" s="14">
        <v>69.2</v>
      </c>
      <c r="G653" s="14">
        <v>86.9</v>
      </c>
      <c r="H653" s="14">
        <v>55.9</v>
      </c>
      <c r="I653" s="14">
        <v>43.5</v>
      </c>
      <c r="J653" s="9">
        <v>79.7</v>
      </c>
      <c r="K653" s="14">
        <v>125.5</v>
      </c>
      <c r="L653" s="14">
        <v>143.5</v>
      </c>
      <c r="M653" s="14">
        <v>136.1</v>
      </c>
    </row>
    <row r="654" ht="14.25" customHeight="1">
      <c r="A654" s="15">
        <v>21.0</v>
      </c>
      <c r="B654" s="13" t="s">
        <v>64</v>
      </c>
      <c r="C654" s="9">
        <v>54.9</v>
      </c>
      <c r="D654" s="14">
        <v>42.7</v>
      </c>
      <c r="E654" s="14">
        <v>70.3</v>
      </c>
      <c r="F654" s="14">
        <v>66.7</v>
      </c>
      <c r="G654" s="14">
        <v>82.9</v>
      </c>
      <c r="H654" s="14">
        <v>52.3</v>
      </c>
      <c r="I654" s="14">
        <v>44.0</v>
      </c>
      <c r="J654" s="9">
        <v>80.4</v>
      </c>
      <c r="K654" s="14">
        <v>124.7</v>
      </c>
      <c r="L654" s="14">
        <v>140.7</v>
      </c>
      <c r="M654" s="14">
        <v>133.5</v>
      </c>
    </row>
    <row r="655" ht="14.25" customHeight="1">
      <c r="A655" s="15">
        <v>22.0</v>
      </c>
      <c r="B655" s="13" t="s">
        <v>64</v>
      </c>
      <c r="C655" s="9">
        <v>60.3</v>
      </c>
      <c r="D655" s="14">
        <v>38.5</v>
      </c>
      <c r="E655" s="14">
        <v>68.5</v>
      </c>
      <c r="F655" s="14">
        <v>68.0</v>
      </c>
      <c r="G655" s="14">
        <v>87.0</v>
      </c>
      <c r="H655" s="14">
        <v>55.9</v>
      </c>
      <c r="I655" s="14">
        <v>45.1</v>
      </c>
      <c r="J655" s="9">
        <v>79.4</v>
      </c>
      <c r="K655" s="14">
        <v>124.0</v>
      </c>
      <c r="L655" s="14">
        <v>142.7</v>
      </c>
      <c r="M655" s="14">
        <v>133.6</v>
      </c>
    </row>
    <row r="656" ht="14.25" customHeight="1">
      <c r="A656" s="15">
        <v>23.0</v>
      </c>
      <c r="B656" s="13" t="s">
        <v>64</v>
      </c>
      <c r="C656" s="9">
        <v>54.3</v>
      </c>
      <c r="D656" s="14">
        <v>41.193815090700454</v>
      </c>
      <c r="E656" s="14">
        <v>69.9</v>
      </c>
      <c r="F656" s="14">
        <v>66.0</v>
      </c>
      <c r="G656" s="14">
        <v>82.7</v>
      </c>
      <c r="H656" s="14">
        <v>52.4</v>
      </c>
      <c r="I656" s="14">
        <v>44.8</v>
      </c>
      <c r="J656" s="9">
        <v>78.0</v>
      </c>
      <c r="K656" s="14">
        <v>120.2</v>
      </c>
      <c r="L656" s="14">
        <v>137.8</v>
      </c>
      <c r="M656" s="14">
        <v>131.1</v>
      </c>
    </row>
    <row r="657" ht="14.25" customHeight="1">
      <c r="A657" s="15">
        <v>24.0</v>
      </c>
      <c r="B657" s="13" t="s">
        <v>64</v>
      </c>
      <c r="C657" s="9">
        <v>56.3</v>
      </c>
      <c r="D657" s="14">
        <v>40.0</v>
      </c>
      <c r="E657" s="14">
        <v>69.7</v>
      </c>
      <c r="F657" s="14">
        <v>67.1</v>
      </c>
      <c r="G657" s="14">
        <v>84.4</v>
      </c>
      <c r="H657" s="14">
        <v>52.9</v>
      </c>
      <c r="I657" s="14">
        <v>43.4</v>
      </c>
      <c r="J657" s="9">
        <v>77.81595977357266</v>
      </c>
      <c r="K657" s="14">
        <v>120.1</v>
      </c>
      <c r="L657" s="14">
        <v>136.8</v>
      </c>
      <c r="M657" s="14">
        <v>129.2</v>
      </c>
    </row>
    <row r="658" ht="14.25" customHeight="1">
      <c r="A658" s="15">
        <v>25.0</v>
      </c>
      <c r="B658" s="13" t="s">
        <v>64</v>
      </c>
      <c r="C658" s="9">
        <v>56.003155570647166</v>
      </c>
      <c r="D658" s="14">
        <v>41.35531133341407</v>
      </c>
      <c r="E658" s="14">
        <v>70.3</v>
      </c>
      <c r="F658" s="14">
        <v>68.0</v>
      </c>
      <c r="G658" s="14">
        <v>85.9</v>
      </c>
      <c r="H658" s="14">
        <v>53.5</v>
      </c>
      <c r="I658" s="14">
        <v>44.4</v>
      </c>
      <c r="J658" s="9">
        <v>80.01309237006217</v>
      </c>
      <c r="K658" s="14">
        <v>122.7</v>
      </c>
      <c r="L658" s="14">
        <v>142.5</v>
      </c>
      <c r="M658" s="14">
        <v>135.6</v>
      </c>
    </row>
    <row r="659" ht="14.25" customHeight="1">
      <c r="A659" s="15">
        <v>26.0</v>
      </c>
      <c r="B659" s="13" t="s">
        <v>64</v>
      </c>
      <c r="C659" s="9">
        <v>59.8</v>
      </c>
      <c r="D659" s="14">
        <v>41.3</v>
      </c>
      <c r="E659" s="14">
        <v>70.7</v>
      </c>
      <c r="F659" s="14">
        <v>67.4</v>
      </c>
      <c r="G659" s="14">
        <v>85.9</v>
      </c>
      <c r="H659" s="14">
        <v>55.4</v>
      </c>
      <c r="I659" s="14">
        <v>42.3</v>
      </c>
      <c r="J659" s="9">
        <v>79.6</v>
      </c>
      <c r="K659" s="14">
        <v>122.8</v>
      </c>
      <c r="L659" s="14">
        <v>140.7</v>
      </c>
      <c r="M659" s="14">
        <v>134.3</v>
      </c>
    </row>
    <row r="660" ht="14.25" customHeight="1">
      <c r="A660" s="15">
        <v>27.0</v>
      </c>
      <c r="B660" s="13" t="s">
        <v>64</v>
      </c>
      <c r="C660" s="9">
        <v>56.0</v>
      </c>
      <c r="D660" s="14">
        <v>41.6</v>
      </c>
      <c r="E660" s="14">
        <v>72.634059521484</v>
      </c>
      <c r="F660" s="14">
        <v>67.8</v>
      </c>
      <c r="G660" s="14">
        <v>86.4</v>
      </c>
      <c r="H660" s="14">
        <v>54.23608994301682</v>
      </c>
      <c r="I660" s="14">
        <v>44.3</v>
      </c>
      <c r="J660" s="9">
        <v>80.7</v>
      </c>
      <c r="K660" s="14">
        <v>121.7</v>
      </c>
      <c r="L660" s="14">
        <v>147.7</v>
      </c>
      <c r="M660" s="14">
        <v>140.8</v>
      </c>
    </row>
    <row r="661" ht="14.25" customHeight="1">
      <c r="A661" s="15">
        <v>28.0</v>
      </c>
      <c r="B661" s="13" t="s">
        <v>64</v>
      </c>
      <c r="C661" s="9">
        <v>56.8</v>
      </c>
      <c r="D661" s="14">
        <v>41.0</v>
      </c>
      <c r="E661" s="14">
        <v>67.2</v>
      </c>
      <c r="F661" s="14">
        <v>65.7</v>
      </c>
      <c r="G661" s="14">
        <v>83.3</v>
      </c>
      <c r="H661" s="14">
        <v>51.8</v>
      </c>
      <c r="I661" s="14">
        <v>44.8</v>
      </c>
      <c r="J661" s="9">
        <v>79.8</v>
      </c>
      <c r="K661" s="14">
        <v>120.3</v>
      </c>
      <c r="L661" s="14">
        <v>139.9</v>
      </c>
      <c r="M661" s="14">
        <v>133.1</v>
      </c>
    </row>
    <row r="662" ht="14.25" customHeight="1">
      <c r="A662" s="15">
        <v>29.0</v>
      </c>
      <c r="B662" s="13" t="s">
        <v>64</v>
      </c>
      <c r="C662" s="9">
        <v>54.2</v>
      </c>
      <c r="D662" s="14">
        <v>41.6</v>
      </c>
      <c r="E662" s="14">
        <v>71.4</v>
      </c>
      <c r="F662" s="14">
        <v>68.6</v>
      </c>
      <c r="G662" s="14">
        <v>85.8</v>
      </c>
      <c r="H662" s="14">
        <v>53.6</v>
      </c>
      <c r="I662" s="14">
        <v>45.3</v>
      </c>
      <c r="J662" s="9">
        <v>79.6</v>
      </c>
      <c r="K662" s="14">
        <v>123.0</v>
      </c>
      <c r="L662" s="14">
        <v>140.4</v>
      </c>
      <c r="M662" s="14">
        <v>134.0</v>
      </c>
    </row>
    <row r="663" ht="14.25" customHeight="1">
      <c r="A663" s="15">
        <v>30.0</v>
      </c>
      <c r="B663" s="13" t="s">
        <v>64</v>
      </c>
      <c r="C663" s="9">
        <v>54.8</v>
      </c>
      <c r="D663" s="14">
        <v>39.8</v>
      </c>
      <c r="E663" s="14">
        <v>67.7</v>
      </c>
      <c r="F663" s="14">
        <v>64.5</v>
      </c>
      <c r="G663" s="14">
        <v>83.7</v>
      </c>
      <c r="H663" s="14">
        <v>52.1</v>
      </c>
      <c r="I663" s="14">
        <v>43.8</v>
      </c>
      <c r="J663" s="9">
        <v>70.0</v>
      </c>
      <c r="K663" s="14">
        <v>119.4</v>
      </c>
      <c r="L663" s="14">
        <v>139.0</v>
      </c>
      <c r="M663" s="14">
        <v>129.0</v>
      </c>
    </row>
    <row r="664" ht="14.25" customHeight="1">
      <c r="A664" s="15">
        <v>31.0</v>
      </c>
      <c r="B664" s="13" t="s">
        <v>64</v>
      </c>
      <c r="C664" s="9">
        <v>60.9</v>
      </c>
      <c r="D664" s="14">
        <v>37.9</v>
      </c>
      <c r="E664" s="14">
        <v>68.3</v>
      </c>
      <c r="F664" s="14">
        <v>68.5</v>
      </c>
      <c r="G664" s="14">
        <v>88.2</v>
      </c>
      <c r="H664" s="14">
        <v>56.8</v>
      </c>
      <c r="I664" s="14">
        <v>44.1</v>
      </c>
      <c r="J664" s="9">
        <v>80.0</v>
      </c>
      <c r="K664" s="14">
        <v>127.1</v>
      </c>
      <c r="L664" s="14">
        <v>146.4</v>
      </c>
      <c r="M664" s="14">
        <v>138.6</v>
      </c>
    </row>
    <row r="665" ht="14.25" customHeight="1">
      <c r="A665" s="15">
        <v>32.0</v>
      </c>
      <c r="B665" s="13" t="s">
        <v>64</v>
      </c>
      <c r="C665" s="9">
        <v>55.8</v>
      </c>
      <c r="D665" s="14">
        <v>40.3</v>
      </c>
      <c r="E665" s="14">
        <v>73.21205438904876</v>
      </c>
      <c r="F665" s="14">
        <v>70.0</v>
      </c>
      <c r="G665" s="14">
        <v>86.9</v>
      </c>
      <c r="H665" s="14">
        <v>54.9</v>
      </c>
      <c r="I665" s="14">
        <v>44.5</v>
      </c>
      <c r="J665" s="9">
        <v>80.4</v>
      </c>
      <c r="K665" s="14">
        <v>122.7</v>
      </c>
      <c r="L665" s="14">
        <v>142.1</v>
      </c>
      <c r="M665" s="14">
        <v>134.3</v>
      </c>
    </row>
    <row r="666" ht="14.25" customHeight="1">
      <c r="A666" s="15">
        <v>33.0</v>
      </c>
      <c r="B666" s="13" t="s">
        <v>64</v>
      </c>
      <c r="C666" s="9">
        <v>55.9</v>
      </c>
      <c r="D666" s="14">
        <v>40.4</v>
      </c>
      <c r="E666" s="14">
        <v>69.3</v>
      </c>
      <c r="F666" s="14">
        <v>66.0</v>
      </c>
      <c r="G666" s="14">
        <v>82.6</v>
      </c>
      <c r="H666" s="14">
        <v>53.1</v>
      </c>
      <c r="I666" s="14">
        <v>44.3</v>
      </c>
      <c r="J666" s="9">
        <v>76.1</v>
      </c>
      <c r="K666" s="14">
        <v>120.3</v>
      </c>
      <c r="L666" s="14">
        <v>139.2</v>
      </c>
      <c r="M666" s="14">
        <v>131.6</v>
      </c>
    </row>
    <row r="667" ht="14.25" customHeight="1">
      <c r="A667" s="15">
        <v>34.0</v>
      </c>
      <c r="B667" s="13" t="s">
        <v>64</v>
      </c>
      <c r="C667" s="9">
        <v>51.1</v>
      </c>
      <c r="D667" s="14">
        <v>40.3</v>
      </c>
      <c r="E667" s="14">
        <v>69.15876027708714</v>
      </c>
      <c r="F667" s="14">
        <v>65.1</v>
      </c>
      <c r="G667" s="14">
        <v>80.0</v>
      </c>
      <c r="H667" s="14">
        <v>49.8</v>
      </c>
      <c r="I667" s="14">
        <v>43.2</v>
      </c>
      <c r="J667" s="9">
        <v>74.3</v>
      </c>
      <c r="K667" s="14">
        <v>115.3</v>
      </c>
      <c r="L667" s="14">
        <v>130.4</v>
      </c>
      <c r="M667" s="14">
        <v>122.5</v>
      </c>
    </row>
    <row r="668" ht="14.25" customHeight="1">
      <c r="A668" s="15">
        <v>35.0</v>
      </c>
      <c r="B668" s="13" t="s">
        <v>64</v>
      </c>
      <c r="C668" s="9">
        <v>56.7</v>
      </c>
      <c r="D668" s="14">
        <v>39.5</v>
      </c>
      <c r="E668" s="14">
        <v>65.2</v>
      </c>
      <c r="F668" s="14">
        <v>67.8</v>
      </c>
      <c r="G668" s="14">
        <v>86.3</v>
      </c>
      <c r="H668" s="14">
        <v>54.8</v>
      </c>
      <c r="I668" s="14">
        <v>44.3</v>
      </c>
      <c r="J668" s="9">
        <v>80.4</v>
      </c>
      <c r="K668" s="14">
        <v>123.7</v>
      </c>
      <c r="L668" s="14">
        <v>142.2</v>
      </c>
      <c r="M668" s="14">
        <v>135.8</v>
      </c>
    </row>
    <row r="669" ht="14.25" customHeight="1">
      <c r="A669" s="15">
        <v>36.0</v>
      </c>
      <c r="B669" s="13" t="s">
        <v>64</v>
      </c>
      <c r="C669" s="9">
        <v>53.8</v>
      </c>
      <c r="D669" s="14">
        <v>40.2</v>
      </c>
      <c r="E669" s="14">
        <v>66.5</v>
      </c>
      <c r="F669" s="14">
        <v>64.4</v>
      </c>
      <c r="G669" s="14">
        <v>80.0</v>
      </c>
      <c r="H669" s="14">
        <v>51.7</v>
      </c>
      <c r="I669" s="14">
        <v>42.9</v>
      </c>
      <c r="J669" s="9">
        <v>73.6</v>
      </c>
      <c r="K669" s="14">
        <v>118.8</v>
      </c>
      <c r="L669" s="14">
        <v>138.3</v>
      </c>
      <c r="M669" s="14">
        <v>131.2</v>
      </c>
    </row>
    <row r="670" ht="14.25" customHeight="1">
      <c r="A670" s="15">
        <v>37.0</v>
      </c>
      <c r="B670" s="13" t="s">
        <v>64</v>
      </c>
      <c r="C670" s="9">
        <v>53.9</v>
      </c>
      <c r="D670" s="14">
        <v>40.1</v>
      </c>
      <c r="E670" s="14">
        <v>69.8</v>
      </c>
      <c r="F670" s="14">
        <v>66.4</v>
      </c>
      <c r="G670" s="14">
        <v>83.8</v>
      </c>
      <c r="H670" s="14">
        <v>53.5</v>
      </c>
      <c r="I670" s="14">
        <v>44.0</v>
      </c>
      <c r="J670" s="9">
        <v>77.4</v>
      </c>
      <c r="K670" s="14">
        <v>121.6</v>
      </c>
      <c r="L670" s="14">
        <v>140.4</v>
      </c>
      <c r="M670" s="14">
        <v>135.2</v>
      </c>
    </row>
    <row r="671" ht="14.25" customHeight="1">
      <c r="A671" s="15">
        <v>38.0</v>
      </c>
      <c r="B671" s="13" t="s">
        <v>64</v>
      </c>
      <c r="C671" s="9">
        <v>59.9</v>
      </c>
      <c r="D671" s="14">
        <v>39.3</v>
      </c>
      <c r="E671" s="14">
        <v>68.64197803099187</v>
      </c>
      <c r="F671" s="14">
        <v>68.7</v>
      </c>
      <c r="G671" s="14">
        <v>87.0</v>
      </c>
      <c r="H671" s="14">
        <v>56.33412761637594</v>
      </c>
      <c r="I671" s="14">
        <v>45.2</v>
      </c>
      <c r="J671" s="9">
        <v>80.0</v>
      </c>
      <c r="K671" s="14">
        <v>126.9</v>
      </c>
      <c r="L671" s="14">
        <v>144.8</v>
      </c>
      <c r="M671" s="14">
        <v>137.8</v>
      </c>
    </row>
    <row r="672" ht="14.25" customHeight="1">
      <c r="A672" s="15">
        <v>40.0</v>
      </c>
      <c r="B672" s="13" t="s">
        <v>64</v>
      </c>
      <c r="C672" s="9">
        <v>57.1</v>
      </c>
      <c r="D672" s="14">
        <v>40.5</v>
      </c>
      <c r="E672" s="14">
        <v>69.7</v>
      </c>
      <c r="F672" s="14">
        <v>69.4</v>
      </c>
      <c r="G672" s="14">
        <v>86.5</v>
      </c>
      <c r="H672" s="14">
        <v>53.6</v>
      </c>
      <c r="I672" s="14">
        <v>41.9</v>
      </c>
      <c r="J672" s="9">
        <v>79.91987526904916</v>
      </c>
      <c r="K672" s="14">
        <v>123.5</v>
      </c>
      <c r="L672" s="14">
        <v>140.9</v>
      </c>
      <c r="M672" s="14">
        <v>134.1</v>
      </c>
    </row>
    <row r="673" ht="14.25" customHeight="1">
      <c r="A673" s="15">
        <v>236.0</v>
      </c>
      <c r="B673" s="13" t="s">
        <v>65</v>
      </c>
      <c r="C673" s="9">
        <v>80.0</v>
      </c>
      <c r="D673" s="14">
        <v>51.49234159532356</v>
      </c>
      <c r="E673" s="14">
        <v>102.3</v>
      </c>
      <c r="F673" s="14">
        <v>109.9</v>
      </c>
      <c r="G673" s="14">
        <v>154.7396368119042</v>
      </c>
      <c r="H673" s="14">
        <v>107.0</v>
      </c>
      <c r="I673" s="14">
        <v>56.6</v>
      </c>
      <c r="J673" s="9">
        <v>98.7</v>
      </c>
      <c r="K673" s="14">
        <v>153.06853635449704</v>
      </c>
      <c r="L673" s="14">
        <v>183.55270124576074</v>
      </c>
      <c r="M673" s="14">
        <v>172.9304462343358</v>
      </c>
    </row>
    <row r="674" ht="14.25" customHeight="1">
      <c r="A674" s="15">
        <v>237.0</v>
      </c>
      <c r="B674" s="13" t="s">
        <v>65</v>
      </c>
      <c r="C674" s="9">
        <v>78.61415640662395</v>
      </c>
      <c r="D674" s="14">
        <v>49.33629641545035</v>
      </c>
      <c r="E674" s="14">
        <v>97.2</v>
      </c>
      <c r="F674" s="14">
        <v>106.4</v>
      </c>
      <c r="G674" s="14">
        <v>149.3</v>
      </c>
      <c r="H674" s="14">
        <v>103.14338610103465</v>
      </c>
      <c r="I674" s="14">
        <v>55.39699342195978</v>
      </c>
      <c r="J674" s="9">
        <v>98.308697046605</v>
      </c>
      <c r="K674" s="14">
        <v>144.7</v>
      </c>
      <c r="L674" s="14">
        <v>176.8</v>
      </c>
      <c r="M674" s="14">
        <v>166.29358955680132</v>
      </c>
    </row>
    <row r="675" ht="14.25" customHeight="1">
      <c r="A675" s="15">
        <v>238.0</v>
      </c>
      <c r="B675" s="13" t="s">
        <v>65</v>
      </c>
      <c r="C675" s="9">
        <v>70.6</v>
      </c>
      <c r="D675" s="14">
        <v>47.2885881510055</v>
      </c>
      <c r="E675" s="14">
        <v>90.0</v>
      </c>
      <c r="F675" s="14">
        <v>98.4</v>
      </c>
      <c r="G675" s="14">
        <v>142.0</v>
      </c>
      <c r="H675" s="14">
        <v>97.3</v>
      </c>
      <c r="I675" s="14">
        <v>53.8</v>
      </c>
      <c r="J675" s="9">
        <v>90.0</v>
      </c>
      <c r="K675" s="14">
        <v>136.0</v>
      </c>
      <c r="L675" s="14">
        <v>166.5</v>
      </c>
      <c r="M675" s="14">
        <v>154.8</v>
      </c>
    </row>
    <row r="676" ht="14.25" customHeight="1">
      <c r="A676" s="15">
        <v>239.0</v>
      </c>
      <c r="B676" s="13" t="s">
        <v>65</v>
      </c>
      <c r="C676" s="9">
        <v>84.3</v>
      </c>
      <c r="D676" s="14">
        <v>51.643506689057304</v>
      </c>
      <c r="E676" s="14">
        <v>102.8867326036663</v>
      </c>
      <c r="F676" s="14">
        <v>110.5</v>
      </c>
      <c r="G676" s="14">
        <v>155.2</v>
      </c>
      <c r="H676" s="14">
        <v>105.9</v>
      </c>
      <c r="I676" s="14">
        <v>56.80941785392193</v>
      </c>
      <c r="J676" s="9">
        <v>102.46463504505904</v>
      </c>
      <c r="K676" s="14">
        <v>150.0</v>
      </c>
      <c r="L676" s="14">
        <v>183.4</v>
      </c>
      <c r="M676" s="14">
        <v>173.2</v>
      </c>
    </row>
    <row r="677" ht="14.25" customHeight="1">
      <c r="A677" s="15">
        <v>240.0</v>
      </c>
      <c r="B677" s="13" t="s">
        <v>65</v>
      </c>
      <c r="C677" s="9">
        <v>71.4</v>
      </c>
      <c r="D677" s="14">
        <v>47.5</v>
      </c>
      <c r="E677" s="14">
        <v>90.0</v>
      </c>
      <c r="F677" s="14">
        <v>100.2</v>
      </c>
      <c r="G677" s="14">
        <v>144.4</v>
      </c>
      <c r="H677" s="14">
        <v>98.3</v>
      </c>
      <c r="I677" s="14">
        <v>54.6</v>
      </c>
      <c r="J677" s="9">
        <v>90.8</v>
      </c>
      <c r="K677" s="14">
        <v>137.2</v>
      </c>
      <c r="L677" s="14">
        <v>167.99213629849953</v>
      </c>
      <c r="M677" s="14">
        <v>157.5</v>
      </c>
    </row>
    <row r="678" ht="14.25" customHeight="1">
      <c r="A678" s="15">
        <v>241.0</v>
      </c>
      <c r="B678" s="13" t="s">
        <v>65</v>
      </c>
      <c r="C678" s="9">
        <v>71.0</v>
      </c>
      <c r="D678" s="14">
        <v>49.1</v>
      </c>
      <c r="E678" s="14">
        <v>99.0</v>
      </c>
      <c r="F678" s="14">
        <v>105.5</v>
      </c>
      <c r="G678" s="14">
        <v>152.2</v>
      </c>
      <c r="H678" s="14">
        <v>102.8</v>
      </c>
      <c r="I678" s="14">
        <v>54.84495526815425</v>
      </c>
      <c r="J678" s="9">
        <v>96.39472490402471</v>
      </c>
      <c r="K678" s="14">
        <v>155.7</v>
      </c>
      <c r="L678" s="14">
        <v>180.9</v>
      </c>
      <c r="M678" s="14">
        <v>172.2</v>
      </c>
    </row>
    <row r="679" ht="14.25" customHeight="1">
      <c r="A679" s="15">
        <v>242.0</v>
      </c>
      <c r="B679" s="13" t="s">
        <v>65</v>
      </c>
      <c r="C679" s="9">
        <v>79.02093605860283</v>
      </c>
      <c r="D679" s="14">
        <v>50.28119509288623</v>
      </c>
      <c r="E679" s="14">
        <v>98.9844901450386</v>
      </c>
      <c r="F679" s="14">
        <v>106.40724414359231</v>
      </c>
      <c r="G679" s="14">
        <v>150.72889916034114</v>
      </c>
      <c r="H679" s="14">
        <v>103.50884950454574</v>
      </c>
      <c r="I679" s="14">
        <v>55.37255720826289</v>
      </c>
      <c r="J679" s="9">
        <v>99.22342603971643</v>
      </c>
      <c r="K679" s="14">
        <v>148.2</v>
      </c>
      <c r="L679" s="14">
        <v>179.9</v>
      </c>
      <c r="M679" s="14">
        <v>170.03874531350013</v>
      </c>
    </row>
    <row r="680" ht="14.25" customHeight="1">
      <c r="A680" s="15">
        <v>243.0</v>
      </c>
      <c r="B680" s="13" t="s">
        <v>65</v>
      </c>
      <c r="C680" s="9">
        <v>78.06690201323599</v>
      </c>
      <c r="D680" s="14">
        <v>50.064403404516</v>
      </c>
      <c r="E680" s="14">
        <v>100.2</v>
      </c>
      <c r="F680" s="14">
        <v>105.98627383218644</v>
      </c>
      <c r="G680" s="14">
        <v>150.1681006539529</v>
      </c>
      <c r="H680" s="14">
        <v>102.92027141557315</v>
      </c>
      <c r="I680" s="14">
        <v>55.56414331061588</v>
      </c>
      <c r="J680" s="9">
        <v>99.1693013968158</v>
      </c>
      <c r="K680" s="14">
        <v>148.84011667318907</v>
      </c>
      <c r="L680" s="14">
        <v>178.23568847649742</v>
      </c>
      <c r="M680" s="14">
        <v>168.7713968152516</v>
      </c>
    </row>
    <row r="681" ht="14.25" customHeight="1">
      <c r="A681" s="15">
        <v>244.0</v>
      </c>
      <c r="B681" s="13" t="s">
        <v>65</v>
      </c>
      <c r="C681" s="9">
        <v>78.0</v>
      </c>
      <c r="D681" s="14">
        <v>50.3</v>
      </c>
      <c r="E681" s="14">
        <v>99.16642008133407</v>
      </c>
      <c r="F681" s="14">
        <v>105.7</v>
      </c>
      <c r="G681" s="14">
        <v>150.08305592098648</v>
      </c>
      <c r="H681" s="14">
        <v>102.91153256624864</v>
      </c>
      <c r="I681" s="14">
        <v>55.50736910807498</v>
      </c>
      <c r="J681" s="9">
        <v>98.92359345583668</v>
      </c>
      <c r="K681" s="14">
        <v>148.15328127709384</v>
      </c>
      <c r="L681" s="14">
        <v>177.97033422661337</v>
      </c>
      <c r="M681" s="14">
        <v>168.2935351681047</v>
      </c>
    </row>
    <row r="682" ht="14.25" customHeight="1">
      <c r="A682" s="15">
        <v>245.0</v>
      </c>
      <c r="B682" s="13" t="s">
        <v>65</v>
      </c>
      <c r="C682" s="9">
        <v>77.0</v>
      </c>
      <c r="D682" s="14">
        <v>49.4</v>
      </c>
      <c r="E682" s="14">
        <v>94.3</v>
      </c>
      <c r="F682" s="14">
        <v>101.8</v>
      </c>
      <c r="G682" s="14">
        <v>146.3151532367996</v>
      </c>
      <c r="H682" s="14">
        <v>100.40156827527703</v>
      </c>
      <c r="I682" s="14">
        <v>54.639402498902676</v>
      </c>
      <c r="J682" s="9">
        <v>97.1168011741885</v>
      </c>
      <c r="K682" s="14">
        <v>142.06638927748588</v>
      </c>
      <c r="L682" s="14">
        <v>172.25605700586695</v>
      </c>
      <c r="M682" s="14">
        <v>162.304345162217</v>
      </c>
    </row>
    <row r="683" ht="14.25" customHeight="1">
      <c r="A683" s="15">
        <v>246.0</v>
      </c>
      <c r="B683" s="13" t="s">
        <v>65</v>
      </c>
      <c r="C683" s="9">
        <v>75.0</v>
      </c>
      <c r="D683" s="14">
        <v>49.4</v>
      </c>
      <c r="E683" s="14">
        <v>96.2</v>
      </c>
      <c r="F683" s="14">
        <v>107.7</v>
      </c>
      <c r="G683" s="14">
        <v>150.6</v>
      </c>
      <c r="H683" s="14">
        <v>104.26264537940985</v>
      </c>
      <c r="I683" s="14">
        <v>55.360920379148354</v>
      </c>
      <c r="J683" s="9">
        <v>97.0728582484042</v>
      </c>
      <c r="K683" s="14">
        <v>149.3</v>
      </c>
      <c r="L683" s="14">
        <v>178.9</v>
      </c>
      <c r="M683" s="14">
        <v>168.9</v>
      </c>
    </row>
    <row r="684" ht="14.25" customHeight="1">
      <c r="A684" s="15">
        <v>247.0</v>
      </c>
      <c r="B684" s="13" t="s">
        <v>65</v>
      </c>
      <c r="C684" s="9">
        <v>72.5</v>
      </c>
      <c r="D684" s="14">
        <v>43.3</v>
      </c>
      <c r="E684" s="14">
        <v>83.4</v>
      </c>
      <c r="F684" s="14">
        <v>102.0</v>
      </c>
      <c r="G684" s="14">
        <v>140.0</v>
      </c>
      <c r="H684" s="14">
        <v>99.2</v>
      </c>
      <c r="I684" s="14">
        <v>52.8</v>
      </c>
      <c r="J684" s="9">
        <v>92.74245423197739</v>
      </c>
      <c r="K684" s="14">
        <v>140.6</v>
      </c>
      <c r="L684" s="14">
        <v>167.7</v>
      </c>
      <c r="M684" s="14">
        <v>158.8</v>
      </c>
    </row>
    <row r="685" ht="14.25" customHeight="1">
      <c r="A685" s="15">
        <v>248.0</v>
      </c>
      <c r="B685" s="13" t="s">
        <v>65</v>
      </c>
      <c r="C685" s="9">
        <v>83.0</v>
      </c>
      <c r="D685" s="14">
        <v>49.4</v>
      </c>
      <c r="E685" s="14">
        <v>99.0</v>
      </c>
      <c r="F685" s="14">
        <v>107.3</v>
      </c>
      <c r="G685" s="14">
        <v>150.72005777653553</v>
      </c>
      <c r="H685" s="14">
        <v>104.15331190233525</v>
      </c>
      <c r="I685" s="14">
        <v>55.33647751866317</v>
      </c>
      <c r="J685" s="9">
        <v>100.98132261419127</v>
      </c>
      <c r="K685" s="14">
        <v>148.93629773202673</v>
      </c>
      <c r="L685" s="14">
        <v>179.69737989669562</v>
      </c>
      <c r="M685" s="14">
        <v>170.05279809184137</v>
      </c>
    </row>
    <row r="686" ht="14.25" customHeight="1">
      <c r="A686" s="15">
        <v>249.0</v>
      </c>
      <c r="B686" s="13" t="s">
        <v>65</v>
      </c>
      <c r="C686" s="9">
        <v>75.5</v>
      </c>
      <c r="D686" s="14">
        <v>46.7</v>
      </c>
      <c r="E686" s="14">
        <v>94.3</v>
      </c>
      <c r="F686" s="14">
        <v>102.4</v>
      </c>
      <c r="G686" s="14">
        <v>144.8</v>
      </c>
      <c r="H686" s="14">
        <v>100.7</v>
      </c>
      <c r="I686" s="14">
        <v>53.8</v>
      </c>
      <c r="J686" s="9">
        <v>95.4</v>
      </c>
      <c r="K686" s="14">
        <v>144.9</v>
      </c>
      <c r="L686" s="14">
        <v>170.5</v>
      </c>
      <c r="M686" s="14">
        <v>161.9</v>
      </c>
    </row>
    <row r="687" ht="14.25" customHeight="1">
      <c r="A687" s="15">
        <v>250.0</v>
      </c>
      <c r="B687" s="13" t="s">
        <v>65</v>
      </c>
      <c r="C687" s="9">
        <v>76.96610617945899</v>
      </c>
      <c r="D687" s="14">
        <v>49.392982910814446</v>
      </c>
      <c r="E687" s="14">
        <v>98.3</v>
      </c>
      <c r="F687" s="14">
        <v>104.83505145101893</v>
      </c>
      <c r="G687" s="14">
        <v>148.6649146888175</v>
      </c>
      <c r="H687" s="14">
        <v>102.05234470983866</v>
      </c>
      <c r="I687" s="14">
        <v>55.21980691875291</v>
      </c>
      <c r="J687" s="9">
        <v>98.15197474771749</v>
      </c>
      <c r="K687" s="14">
        <v>146.82985540558434</v>
      </c>
      <c r="L687" s="14">
        <v>176.061251773828</v>
      </c>
      <c r="M687" s="14">
        <v>166.55193000552973</v>
      </c>
    </row>
    <row r="688" ht="14.25" customHeight="1">
      <c r="A688" s="15">
        <v>251.0</v>
      </c>
      <c r="B688" s="13" t="s">
        <v>65</v>
      </c>
      <c r="C688" s="9">
        <v>77.7</v>
      </c>
      <c r="D688" s="14">
        <v>48.1</v>
      </c>
      <c r="E688" s="14">
        <v>92.6</v>
      </c>
      <c r="F688" s="14">
        <v>99.1</v>
      </c>
      <c r="G688" s="14">
        <v>144.9</v>
      </c>
      <c r="H688" s="14">
        <v>98.6</v>
      </c>
      <c r="I688" s="14">
        <v>54.3</v>
      </c>
      <c r="J688" s="9">
        <v>96.0</v>
      </c>
      <c r="K688" s="14">
        <v>136.9</v>
      </c>
      <c r="L688" s="14">
        <v>166.3</v>
      </c>
      <c r="M688" s="14">
        <v>155.48136823608309</v>
      </c>
    </row>
    <row r="689" ht="14.25" customHeight="1">
      <c r="A689" s="15">
        <v>252.0</v>
      </c>
      <c r="B689" s="13" t="s">
        <v>65</v>
      </c>
      <c r="C689" s="9">
        <v>71.1</v>
      </c>
      <c r="D689" s="14">
        <v>45.3</v>
      </c>
      <c r="E689" s="14">
        <v>91.7</v>
      </c>
      <c r="F689" s="14">
        <v>97.2</v>
      </c>
      <c r="G689" s="14">
        <v>139.1</v>
      </c>
      <c r="H689" s="14">
        <v>96.6</v>
      </c>
      <c r="I689" s="14">
        <v>53.8</v>
      </c>
      <c r="J689" s="9">
        <v>94.0</v>
      </c>
      <c r="K689" s="14">
        <v>134.7</v>
      </c>
      <c r="L689" s="14">
        <v>164.5</v>
      </c>
      <c r="M689" s="14">
        <v>155.8</v>
      </c>
    </row>
    <row r="690" ht="14.25" customHeight="1">
      <c r="A690" s="15">
        <v>253.0</v>
      </c>
      <c r="B690" s="13" t="s">
        <v>65</v>
      </c>
      <c r="C690" s="9">
        <v>78.0</v>
      </c>
      <c r="D690" s="14">
        <v>48.8</v>
      </c>
      <c r="E690" s="14">
        <v>98.3</v>
      </c>
      <c r="F690" s="14">
        <v>106.9</v>
      </c>
      <c r="G690" s="14">
        <v>149.7</v>
      </c>
      <c r="H690" s="14">
        <v>101.7</v>
      </c>
      <c r="I690" s="14">
        <v>56.0</v>
      </c>
      <c r="J690" s="9">
        <v>97.0</v>
      </c>
      <c r="K690" s="14">
        <v>149.3</v>
      </c>
      <c r="L690" s="14">
        <v>178.8</v>
      </c>
      <c r="M690" s="14">
        <v>169.1</v>
      </c>
    </row>
    <row r="691" ht="14.25" customHeight="1">
      <c r="A691" s="15">
        <v>254.0</v>
      </c>
      <c r="B691" s="13" t="s">
        <v>65</v>
      </c>
      <c r="C691" s="9">
        <v>72.5</v>
      </c>
      <c r="D691" s="14">
        <v>49.2</v>
      </c>
      <c r="E691" s="14">
        <v>100.2</v>
      </c>
      <c r="F691" s="14">
        <v>104.3</v>
      </c>
      <c r="G691" s="14">
        <v>147.8</v>
      </c>
      <c r="H691" s="14">
        <v>101.05979152008561</v>
      </c>
      <c r="I691" s="14">
        <v>55.245710581320694</v>
      </c>
      <c r="J691" s="9">
        <v>96.82545374658262</v>
      </c>
      <c r="K691" s="14">
        <v>149.0</v>
      </c>
      <c r="L691" s="14">
        <v>175.75100617245846</v>
      </c>
      <c r="M691" s="14">
        <v>167.2038059433743</v>
      </c>
    </row>
    <row r="692" ht="14.25" customHeight="1">
      <c r="A692" s="15">
        <v>255.0</v>
      </c>
      <c r="B692" s="13" t="s">
        <v>65</v>
      </c>
      <c r="C692" s="9">
        <v>71.7</v>
      </c>
      <c r="D692" s="14">
        <v>46.0</v>
      </c>
      <c r="E692" s="14">
        <v>93.3</v>
      </c>
      <c r="F692" s="14">
        <v>100.9</v>
      </c>
      <c r="G692" s="14">
        <v>142.6</v>
      </c>
      <c r="H692" s="14">
        <v>97.7</v>
      </c>
      <c r="I692" s="14">
        <v>54.78099520915624</v>
      </c>
      <c r="J692" s="9">
        <v>94.35263412008891</v>
      </c>
      <c r="K692" s="14">
        <v>137.8</v>
      </c>
      <c r="L692" s="14">
        <v>163.3</v>
      </c>
      <c r="M692" s="14">
        <v>154.6</v>
      </c>
    </row>
    <row r="693" ht="14.25" customHeight="1">
      <c r="A693" s="15">
        <v>256.0</v>
      </c>
      <c r="B693" s="13" t="s">
        <v>65</v>
      </c>
      <c r="C693" s="9">
        <v>71.4</v>
      </c>
      <c r="D693" s="14">
        <v>47.2</v>
      </c>
      <c r="E693" s="14">
        <v>91.0</v>
      </c>
      <c r="F693" s="14">
        <v>100.6</v>
      </c>
      <c r="G693" s="14">
        <v>146.8</v>
      </c>
      <c r="H693" s="14">
        <v>100.3</v>
      </c>
      <c r="I693" s="14">
        <v>53.6</v>
      </c>
      <c r="J693" s="9">
        <v>96.4</v>
      </c>
      <c r="K693" s="14">
        <v>137.7</v>
      </c>
      <c r="L693" s="14">
        <v>167.8</v>
      </c>
      <c r="M693" s="14">
        <v>157.2</v>
      </c>
    </row>
    <row r="694" ht="14.25" customHeight="1">
      <c r="A694" s="15">
        <v>257.0</v>
      </c>
      <c r="B694" s="13" t="s">
        <v>65</v>
      </c>
      <c r="C694" s="9">
        <v>77.3</v>
      </c>
      <c r="D694" s="14">
        <v>48.9</v>
      </c>
      <c r="E694" s="14">
        <v>98.9</v>
      </c>
      <c r="F694" s="14">
        <v>102.7</v>
      </c>
      <c r="G694" s="14">
        <v>144.8</v>
      </c>
      <c r="H694" s="14">
        <v>98.7</v>
      </c>
      <c r="I694" s="14">
        <v>54.99095149525242</v>
      </c>
      <c r="J694" s="9">
        <v>98.48930329609236</v>
      </c>
      <c r="K694" s="14">
        <v>144.7</v>
      </c>
      <c r="L694" s="14">
        <v>173.9</v>
      </c>
      <c r="M694" s="14">
        <v>166.5</v>
      </c>
    </row>
    <row r="695" ht="14.25" customHeight="1">
      <c r="A695" s="15">
        <v>258.0</v>
      </c>
      <c r="B695" s="13" t="s">
        <v>65</v>
      </c>
      <c r="C695" s="9">
        <v>71.0</v>
      </c>
      <c r="D695" s="14">
        <v>48.0</v>
      </c>
      <c r="E695" s="14">
        <v>94.0</v>
      </c>
      <c r="F695" s="14">
        <v>99.2</v>
      </c>
      <c r="G695" s="14">
        <v>142.6</v>
      </c>
      <c r="H695" s="14">
        <v>97.5</v>
      </c>
      <c r="I695" s="14">
        <v>55.7</v>
      </c>
      <c r="J695" s="9">
        <v>95.8</v>
      </c>
      <c r="K695" s="14">
        <v>139.0</v>
      </c>
      <c r="L695" s="14">
        <v>165.8</v>
      </c>
      <c r="M695" s="14">
        <v>155.7</v>
      </c>
    </row>
    <row r="696" ht="14.25" customHeight="1">
      <c r="A696" s="15">
        <v>259.0</v>
      </c>
      <c r="B696" s="13" t="s">
        <v>65</v>
      </c>
      <c r="C696" s="9">
        <v>77.1</v>
      </c>
      <c r="D696" s="14">
        <v>48.777415449219454</v>
      </c>
      <c r="E696" s="14">
        <v>97.84774241385917</v>
      </c>
      <c r="F696" s="14">
        <v>104.6</v>
      </c>
      <c r="G696" s="14">
        <v>147.8</v>
      </c>
      <c r="H696" s="14">
        <v>100.2</v>
      </c>
      <c r="I696" s="14">
        <v>54.5</v>
      </c>
      <c r="J696" s="9">
        <v>99.4</v>
      </c>
      <c r="K696" s="14">
        <v>146.6</v>
      </c>
      <c r="L696" s="14">
        <v>177.3</v>
      </c>
      <c r="M696" s="14">
        <v>169.3</v>
      </c>
    </row>
    <row r="697" ht="14.25" customHeight="1">
      <c r="A697" s="15">
        <v>260.0</v>
      </c>
      <c r="B697" s="13" t="s">
        <v>65</v>
      </c>
      <c r="C697" s="9">
        <v>72.4</v>
      </c>
      <c r="D697" s="14">
        <v>44.8</v>
      </c>
      <c r="E697" s="14">
        <v>94.3</v>
      </c>
      <c r="F697" s="14">
        <v>100.6</v>
      </c>
      <c r="G697" s="14">
        <v>140.0</v>
      </c>
      <c r="H697" s="14">
        <v>97.36344171347346</v>
      </c>
      <c r="I697" s="14">
        <v>53.812729960543095</v>
      </c>
      <c r="J697" s="9">
        <v>94.67109807182842</v>
      </c>
      <c r="K697" s="14">
        <v>140.0</v>
      </c>
      <c r="L697" s="14">
        <v>166.07520087631616</v>
      </c>
      <c r="M697" s="14">
        <v>157.89939611352304</v>
      </c>
    </row>
    <row r="698" ht="14.25" customHeight="1">
      <c r="A698" s="15">
        <v>261.0</v>
      </c>
      <c r="B698" s="13" t="s">
        <v>65</v>
      </c>
      <c r="C698" s="9">
        <v>68.9</v>
      </c>
      <c r="D698" s="14">
        <v>45.0</v>
      </c>
      <c r="E698" s="14">
        <v>85.8</v>
      </c>
      <c r="F698" s="14">
        <v>98.3</v>
      </c>
      <c r="G698" s="14">
        <v>141.4</v>
      </c>
      <c r="H698" s="14">
        <v>99.0</v>
      </c>
      <c r="I698" s="14">
        <v>52.41591767474263</v>
      </c>
      <c r="J698" s="9">
        <v>91.16437760114673</v>
      </c>
      <c r="K698" s="14">
        <v>135.7</v>
      </c>
      <c r="L698" s="14">
        <v>165.5</v>
      </c>
      <c r="M698" s="14">
        <v>155.5</v>
      </c>
    </row>
    <row r="699" ht="14.25" customHeight="1">
      <c r="A699" s="15">
        <v>262.0</v>
      </c>
      <c r="B699" s="13" t="s">
        <v>65</v>
      </c>
      <c r="C699" s="9">
        <v>81.9</v>
      </c>
      <c r="D699" s="14">
        <v>51.6</v>
      </c>
      <c r="E699" s="14">
        <v>100.0</v>
      </c>
      <c r="F699" s="14">
        <v>105.0</v>
      </c>
      <c r="G699" s="14">
        <v>149.7</v>
      </c>
      <c r="H699" s="14">
        <v>105.0</v>
      </c>
      <c r="I699" s="14">
        <v>54.883625140337124</v>
      </c>
      <c r="J699" s="9">
        <v>101.18339105777284</v>
      </c>
      <c r="K699" s="14">
        <v>150.8</v>
      </c>
      <c r="L699" s="14">
        <v>180.4</v>
      </c>
      <c r="M699" s="14">
        <v>171.1</v>
      </c>
    </row>
    <row r="700" ht="14.25" customHeight="1">
      <c r="A700" s="15">
        <v>263.0</v>
      </c>
      <c r="B700" s="13" t="s">
        <v>65</v>
      </c>
      <c r="C700" s="9">
        <v>71.2</v>
      </c>
      <c r="D700" s="14">
        <v>46.3</v>
      </c>
      <c r="E700" s="14">
        <v>91.5</v>
      </c>
      <c r="F700" s="14">
        <v>100.0</v>
      </c>
      <c r="G700" s="14">
        <v>140.9</v>
      </c>
      <c r="H700" s="14">
        <v>100.2</v>
      </c>
      <c r="I700" s="14">
        <v>53.76757406194652</v>
      </c>
      <c r="J700" s="9">
        <v>93.92917369450576</v>
      </c>
      <c r="K700" s="14">
        <v>138.6</v>
      </c>
      <c r="L700" s="14">
        <v>163.4</v>
      </c>
      <c r="M700" s="14">
        <v>154.4</v>
      </c>
    </row>
    <row r="701" ht="14.25" customHeight="1">
      <c r="A701" s="15">
        <v>264.0</v>
      </c>
      <c r="B701" s="13" t="s">
        <v>65</v>
      </c>
      <c r="C701" s="9">
        <v>74.6</v>
      </c>
      <c r="D701" s="14">
        <v>49.3</v>
      </c>
      <c r="E701" s="14">
        <v>92.3</v>
      </c>
      <c r="F701" s="14">
        <v>104.0</v>
      </c>
      <c r="G701" s="14">
        <v>145.5</v>
      </c>
      <c r="H701" s="14">
        <v>103.2</v>
      </c>
      <c r="I701" s="14">
        <v>54.548127608531004</v>
      </c>
      <c r="J701" s="9">
        <v>95.80216743284143</v>
      </c>
      <c r="K701" s="14">
        <v>140.0</v>
      </c>
      <c r="L701" s="14">
        <v>171.9</v>
      </c>
      <c r="M701" s="14">
        <v>162.5</v>
      </c>
    </row>
    <row r="702" ht="14.25" customHeight="1">
      <c r="A702" s="15">
        <v>265.0</v>
      </c>
      <c r="B702" s="13" t="s">
        <v>65</v>
      </c>
      <c r="C702" s="9">
        <v>70.0</v>
      </c>
      <c r="D702" s="14">
        <v>44.7</v>
      </c>
      <c r="E702" s="14">
        <v>85.8</v>
      </c>
      <c r="F702" s="14">
        <v>95.7</v>
      </c>
      <c r="G702" s="14">
        <v>136.8</v>
      </c>
      <c r="H702" s="14">
        <v>94.6</v>
      </c>
      <c r="I702" s="14">
        <v>52.09444036888987</v>
      </c>
      <c r="J702" s="9">
        <v>91.17128604491019</v>
      </c>
      <c r="K702" s="14">
        <v>133.0</v>
      </c>
      <c r="L702" s="14">
        <v>164.6</v>
      </c>
      <c r="M702" s="14">
        <v>154.8</v>
      </c>
    </row>
    <row r="703" ht="14.25" customHeight="1">
      <c r="A703" s="15">
        <v>266.0</v>
      </c>
      <c r="B703" s="13" t="s">
        <v>65</v>
      </c>
      <c r="C703" s="9">
        <v>77.5</v>
      </c>
      <c r="D703" s="14">
        <v>49.0</v>
      </c>
      <c r="E703" s="14">
        <v>99.0</v>
      </c>
      <c r="F703" s="14">
        <v>103.5</v>
      </c>
      <c r="G703" s="14">
        <v>147.8</v>
      </c>
      <c r="H703" s="14">
        <v>101.2</v>
      </c>
      <c r="I703" s="14">
        <v>53.8</v>
      </c>
      <c r="J703" s="9">
        <v>97.4</v>
      </c>
      <c r="K703" s="14">
        <v>145.6</v>
      </c>
      <c r="L703" s="14">
        <v>174.9</v>
      </c>
      <c r="M703" s="14">
        <v>164.7</v>
      </c>
    </row>
    <row r="704" ht="14.25" customHeight="1">
      <c r="A704" s="15">
        <v>267.0</v>
      </c>
      <c r="B704" s="13" t="s">
        <v>65</v>
      </c>
      <c r="C704" s="9">
        <v>79.3</v>
      </c>
      <c r="D704" s="14">
        <v>47.0</v>
      </c>
      <c r="E704" s="14">
        <v>101.3</v>
      </c>
      <c r="F704" s="14">
        <v>109.5</v>
      </c>
      <c r="G704" s="14">
        <v>150.9</v>
      </c>
      <c r="H704" s="14">
        <v>105.4</v>
      </c>
      <c r="I704" s="14">
        <v>55.034743059342084</v>
      </c>
      <c r="J704" s="9">
        <v>99.90387253894677</v>
      </c>
      <c r="K704" s="14">
        <v>153.0</v>
      </c>
      <c r="L704" s="14">
        <v>181.1</v>
      </c>
      <c r="M704" s="14">
        <v>172.53507988153584</v>
      </c>
    </row>
    <row r="705" ht="14.25" customHeight="1">
      <c r="A705" s="15">
        <v>268.0</v>
      </c>
      <c r="B705" s="13" t="s">
        <v>65</v>
      </c>
      <c r="C705" s="9">
        <v>73.78730762647523</v>
      </c>
      <c r="D705" s="14">
        <v>47.41405931082105</v>
      </c>
      <c r="E705" s="14">
        <v>93.13266554794288</v>
      </c>
      <c r="F705" s="14">
        <v>101.49449345509777</v>
      </c>
      <c r="G705" s="14">
        <v>144.3542595792901</v>
      </c>
      <c r="H705" s="14">
        <v>99.608830859088</v>
      </c>
      <c r="I705" s="14">
        <v>54.0</v>
      </c>
      <c r="J705" s="9">
        <v>95.2</v>
      </c>
      <c r="K705" s="14">
        <v>141.39668539647218</v>
      </c>
      <c r="L705" s="14">
        <v>170.10974019834993</v>
      </c>
      <c r="M705" s="14">
        <v>160.63669591030543</v>
      </c>
    </row>
    <row r="706" ht="14.25" customHeight="1">
      <c r="A706" s="15">
        <v>269.0</v>
      </c>
      <c r="B706" s="13" t="s">
        <v>65</v>
      </c>
      <c r="C706" s="9">
        <v>77.27093420012623</v>
      </c>
      <c r="D706" s="14">
        <v>48.97994075560119</v>
      </c>
      <c r="E706" s="14">
        <v>97.1606131181726</v>
      </c>
      <c r="F706" s="14">
        <v>104.42935426622061</v>
      </c>
      <c r="G706" s="14">
        <v>148.05556969622984</v>
      </c>
      <c r="H706" s="14">
        <v>101.94044026961781</v>
      </c>
      <c r="I706" s="14">
        <v>54.8</v>
      </c>
      <c r="J706" s="9">
        <v>98.6</v>
      </c>
      <c r="K706" s="14">
        <v>146.22564078810964</v>
      </c>
      <c r="L706" s="14">
        <v>175.58512724986267</v>
      </c>
      <c r="M706" s="14">
        <v>166.2947461430448</v>
      </c>
    </row>
    <row r="707" ht="14.25" customHeight="1">
      <c r="A707" s="15">
        <v>270.0</v>
      </c>
      <c r="B707" s="13" t="s">
        <v>65</v>
      </c>
      <c r="C707" s="9">
        <v>73.59064434900523</v>
      </c>
      <c r="D707" s="14">
        <v>47.36151930693883</v>
      </c>
      <c r="E707" s="14">
        <v>92.97269655510321</v>
      </c>
      <c r="F707" s="14">
        <v>101.36976319771094</v>
      </c>
      <c r="G707" s="14">
        <v>144.19930897059226</v>
      </c>
      <c r="H707" s="14">
        <v>99.49181632694825</v>
      </c>
      <c r="I707" s="14">
        <v>54.0</v>
      </c>
      <c r="J707" s="9">
        <v>95.0</v>
      </c>
      <c r="K707" s="14">
        <v>141.15987259973244</v>
      </c>
      <c r="L707" s="14">
        <v>169.83521867513468</v>
      </c>
      <c r="M707" s="14">
        <v>160.32806732973276</v>
      </c>
    </row>
    <row r="708" ht="14.25" customHeight="1">
      <c r="A708" s="15">
        <v>271.0</v>
      </c>
      <c r="B708" s="13" t="s">
        <v>65</v>
      </c>
      <c r="C708" s="9">
        <v>72.35803311293735</v>
      </c>
      <c r="D708" s="14">
        <v>46.79401626660211</v>
      </c>
      <c r="E708" s="14">
        <v>91.52220458858194</v>
      </c>
      <c r="F708" s="14">
        <v>100.31596424005993</v>
      </c>
      <c r="G708" s="14">
        <v>142.86942415500155</v>
      </c>
      <c r="H708" s="14">
        <v>98.66134324755197</v>
      </c>
      <c r="I708" s="14">
        <v>53.7</v>
      </c>
      <c r="J708" s="9">
        <v>93.8</v>
      </c>
      <c r="K708" s="14">
        <v>139.43781912664576</v>
      </c>
      <c r="L708" s="14">
        <v>167.8848941020231</v>
      </c>
      <c r="M708" s="14">
        <v>158.32203421017022</v>
      </c>
    </row>
    <row r="709" ht="14.25" customHeight="1">
      <c r="A709" s="15">
        <v>272.0</v>
      </c>
      <c r="B709" s="13" t="s">
        <v>65</v>
      </c>
      <c r="C709" s="9">
        <v>74.58089224011609</v>
      </c>
      <c r="D709" s="14">
        <v>48.10247535849565</v>
      </c>
      <c r="E709" s="14">
        <v>94.67391304184818</v>
      </c>
      <c r="F709" s="14">
        <v>102.54188418261184</v>
      </c>
      <c r="G709" s="14">
        <v>145.69694903653996</v>
      </c>
      <c r="H709" s="14">
        <v>100.27515349469272</v>
      </c>
      <c r="I709" s="14">
        <v>54.6</v>
      </c>
      <c r="J709" s="9">
        <v>95.9</v>
      </c>
      <c r="K709" s="14">
        <v>142.82788357035787</v>
      </c>
      <c r="L709" s="14">
        <v>171.67695639724343</v>
      </c>
      <c r="M709" s="14">
        <v>162.0254192145629</v>
      </c>
    </row>
    <row r="710" ht="14.25" customHeight="1">
      <c r="A710" s="15">
        <v>273.0</v>
      </c>
      <c r="B710" s="13" t="s">
        <v>65</v>
      </c>
      <c r="C710" s="9">
        <v>75.94692282908426</v>
      </c>
      <c r="D710" s="14">
        <v>48.864423745469104</v>
      </c>
      <c r="E710" s="14">
        <v>96.5315081777781</v>
      </c>
      <c r="F710" s="14">
        <v>103.86165987784301</v>
      </c>
      <c r="G710" s="14">
        <v>147.37109659874875</v>
      </c>
      <c r="H710" s="14">
        <v>101.24972443119741</v>
      </c>
      <c r="I710" s="14">
        <v>55.1</v>
      </c>
      <c r="J710" s="9">
        <v>97.2</v>
      </c>
      <c r="K710" s="14">
        <v>144.86912790358</v>
      </c>
      <c r="L710" s="14">
        <v>173.966672021176</v>
      </c>
      <c r="M710" s="14">
        <v>164.28860771516278</v>
      </c>
    </row>
    <row r="711" ht="14.25" customHeight="1">
      <c r="A711" s="15">
        <v>274.0</v>
      </c>
      <c r="B711" s="13" t="s">
        <v>65</v>
      </c>
      <c r="C711" s="9">
        <v>81.21113125328694</v>
      </c>
      <c r="D711" s="14">
        <v>50.508996865391275</v>
      </c>
      <c r="E711" s="14">
        <v>101.26136449751273</v>
      </c>
      <c r="F711" s="14">
        <v>107.4724291119238</v>
      </c>
      <c r="G711" s="14">
        <v>151.87746889264508</v>
      </c>
      <c r="H711" s="14">
        <v>104.47899541945849</v>
      </c>
      <c r="I711" s="14">
        <v>55.4</v>
      </c>
      <c r="J711" s="9">
        <v>102.5</v>
      </c>
      <c r="K711" s="14">
        <v>151.44584370983094</v>
      </c>
      <c r="L711" s="14">
        <v>181.5446878202002</v>
      </c>
      <c r="M711" s="14">
        <v>172.62152673646477</v>
      </c>
    </row>
    <row r="712" ht="14.25" customHeight="1">
      <c r="A712" s="15">
        <v>275.0</v>
      </c>
      <c r="B712" s="13" t="s">
        <v>65</v>
      </c>
      <c r="C712" s="9">
        <v>78.41849498364907</v>
      </c>
      <c r="D712" s="14">
        <v>50.55693112575748</v>
      </c>
      <c r="E712" s="14">
        <v>100.48267925889633</v>
      </c>
      <c r="F712" s="14">
        <v>106.60803739981384</v>
      </c>
      <c r="G712" s="14">
        <v>150.87286578722598</v>
      </c>
      <c r="H712" s="14">
        <v>103.14094562476978</v>
      </c>
      <c r="I712" s="14">
        <v>56.4</v>
      </c>
      <c r="J712" s="9">
        <v>99.48156678903385</v>
      </c>
      <c r="K712" s="14">
        <v>148.87574796635397</v>
      </c>
      <c r="L712" s="14">
        <v>178.41221485227746</v>
      </c>
      <c r="M712" s="14">
        <v>168.4778584029508</v>
      </c>
    </row>
    <row r="713" ht="14.25" customHeight="1">
      <c r="A713" s="15">
        <v>276.0</v>
      </c>
      <c r="B713" s="13" t="s">
        <v>65</v>
      </c>
      <c r="C713" s="9">
        <v>72.22136310583703</v>
      </c>
      <c r="D713" s="14">
        <v>45.24889049587597</v>
      </c>
      <c r="E713" s="14">
        <v>88.57454618802794</v>
      </c>
      <c r="F713" s="14">
        <v>98.50638421302273</v>
      </c>
      <c r="G713" s="14">
        <v>140.4898940621425</v>
      </c>
      <c r="H713" s="14">
        <v>97.96524716482563</v>
      </c>
      <c r="I713" s="14">
        <v>51.8</v>
      </c>
      <c r="J713" s="9">
        <v>94.0</v>
      </c>
      <c r="K713" s="14">
        <v>137.76717953661267</v>
      </c>
      <c r="L713" s="14">
        <v>166.23917787771123</v>
      </c>
      <c r="M713" s="14">
        <v>157.65367242860788</v>
      </c>
    </row>
    <row r="714" ht="14.25" customHeight="1">
      <c r="A714" s="15">
        <v>277.0</v>
      </c>
      <c r="B714" s="13" t="s">
        <v>65</v>
      </c>
      <c r="C714" s="9">
        <v>72.55101554084648</v>
      </c>
      <c r="D714" s="14">
        <v>47.71898066242799</v>
      </c>
      <c r="E714" s="14">
        <v>93.32135729002036</v>
      </c>
      <c r="F714" s="14">
        <v>101.43582808893697</v>
      </c>
      <c r="G714" s="14">
        <v>144.33675508748183</v>
      </c>
      <c r="H714" s="14">
        <v>99.1320914982639</v>
      </c>
      <c r="I714" s="14">
        <v>54.8</v>
      </c>
      <c r="J714" s="9">
        <v>93.8</v>
      </c>
      <c r="K714" s="14">
        <v>140.54213366635634</v>
      </c>
      <c r="L714" s="14">
        <v>168.99661069269666</v>
      </c>
      <c r="M714" s="14">
        <v>158.887660209301</v>
      </c>
    </row>
    <row r="715" ht="14.25" customHeight="1">
      <c r="A715" s="15">
        <v>278.0</v>
      </c>
      <c r="B715" s="13" t="s">
        <v>65</v>
      </c>
      <c r="C715" s="9">
        <v>80.05194609974969</v>
      </c>
      <c r="D715" s="14">
        <v>51.628524938535186</v>
      </c>
      <c r="E715" s="14">
        <v>103.00566510811443</v>
      </c>
      <c r="F715" s="14">
        <v>108.3694566615033</v>
      </c>
      <c r="G715" s="14">
        <v>153.11642630783362</v>
      </c>
      <c r="H715" s="14">
        <v>104.37170174775721</v>
      </c>
      <c r="I715" s="14">
        <v>57.2</v>
      </c>
      <c r="J715" s="9">
        <v>101.0</v>
      </c>
      <c r="K715" s="14">
        <v>151.47680789017306</v>
      </c>
      <c r="L715" s="14">
        <v>181.30494899900623</v>
      </c>
      <c r="M715" s="14">
        <v>171.23238219892934</v>
      </c>
    </row>
    <row r="716" ht="14.25" customHeight="1">
      <c r="A716" s="15">
        <v>279.0</v>
      </c>
      <c r="B716" s="13" t="s">
        <v>65</v>
      </c>
      <c r="C716" s="9">
        <v>78.9601159157038</v>
      </c>
      <c r="D716" s="14">
        <v>49.510618460947846</v>
      </c>
      <c r="E716" s="14">
        <v>98.68390889380427</v>
      </c>
      <c r="F716" s="14">
        <v>105.59136725845194</v>
      </c>
      <c r="G716" s="14">
        <v>149.50604359129602</v>
      </c>
      <c r="H716" s="14">
        <v>102.97785908832493</v>
      </c>
      <c r="I716" s="14">
        <v>54.9</v>
      </c>
      <c r="J716" s="9">
        <v>100.3</v>
      </c>
      <c r="K716" s="14">
        <v>148.33894179128006</v>
      </c>
      <c r="L716" s="14">
        <v>178.019625341799</v>
      </c>
      <c r="M716" s="14">
        <v>168.9695096232879</v>
      </c>
    </row>
    <row r="717" ht="14.25" customHeight="1">
      <c r="A717" s="15">
        <v>280.0</v>
      </c>
      <c r="B717" s="13" t="s">
        <v>65</v>
      </c>
      <c r="C717" s="9">
        <v>70.5354320444595</v>
      </c>
      <c r="D717" s="14">
        <v>46.068893214618726</v>
      </c>
      <c r="E717" s="14">
        <v>89.59180564354162</v>
      </c>
      <c r="F717" s="14">
        <v>98.88797451024845</v>
      </c>
      <c r="G717" s="14">
        <v>141.07468751331731</v>
      </c>
      <c r="H717" s="14">
        <v>97.47982657173645</v>
      </c>
      <c r="I717" s="14">
        <v>53.4</v>
      </c>
      <c r="J717" s="9">
        <v>92.0</v>
      </c>
      <c r="K717" s="14">
        <v>137.00532726333995</v>
      </c>
      <c r="L717" s="14">
        <v>165.11100495926576</v>
      </c>
      <c r="M717" s="14">
        <v>155.3901153488897</v>
      </c>
    </row>
    <row r="718" ht="14.25" customHeight="1">
      <c r="A718" s="15">
        <v>281.0</v>
      </c>
      <c r="B718" s="13" t="s">
        <v>65</v>
      </c>
      <c r="C718" s="9">
        <v>73.98397090394522</v>
      </c>
      <c r="D718" s="14">
        <v>47.46659931470327</v>
      </c>
      <c r="E718" s="14">
        <v>93.29263454078256</v>
      </c>
      <c r="F718" s="14">
        <v>101.61922371248458</v>
      </c>
      <c r="G718" s="14">
        <v>144.50921018798795</v>
      </c>
      <c r="H718" s="14">
        <v>99.72584539122775</v>
      </c>
      <c r="I718" s="14">
        <v>54.0</v>
      </c>
      <c r="J718" s="9">
        <v>95.4</v>
      </c>
      <c r="K718" s="14">
        <v>141.6334981932119</v>
      </c>
      <c r="L718" s="14">
        <v>170.3842617215652</v>
      </c>
      <c r="M718" s="14">
        <v>160.94532449087808</v>
      </c>
    </row>
    <row r="719" ht="14.25" customHeight="1">
      <c r="A719" s="15">
        <v>282.0</v>
      </c>
      <c r="B719" s="13" t="s">
        <v>65</v>
      </c>
      <c r="C719" s="9">
        <v>75.46587698873103</v>
      </c>
      <c r="D719" s="14">
        <v>48.33890537596563</v>
      </c>
      <c r="E719" s="14">
        <v>95.39377350962673</v>
      </c>
      <c r="F719" s="14">
        <v>103.10317034085251</v>
      </c>
      <c r="G719" s="14">
        <v>146.3942267756802</v>
      </c>
      <c r="H719" s="14">
        <v>100.80171888932158</v>
      </c>
      <c r="I719" s="14">
        <v>54.6</v>
      </c>
      <c r="J719" s="9">
        <v>96.8</v>
      </c>
      <c r="K719" s="14">
        <v>143.89354115568662</v>
      </c>
      <c r="L719" s="14">
        <v>172.91230325171205</v>
      </c>
      <c r="M719" s="14">
        <v>163.41424782713983</v>
      </c>
    </row>
    <row r="720" ht="14.25" customHeight="1">
      <c r="A720" s="15">
        <v>283.0</v>
      </c>
      <c r="B720" s="13" t="s">
        <v>65</v>
      </c>
      <c r="C720" s="9">
        <v>76.77927600645125</v>
      </c>
      <c r="D720" s="14">
        <v>48.84859074589565</v>
      </c>
      <c r="E720" s="14">
        <v>96.7606906360734</v>
      </c>
      <c r="F720" s="14">
        <v>104.11752862275357</v>
      </c>
      <c r="G720" s="14">
        <v>147.66819317448525</v>
      </c>
      <c r="H720" s="14">
        <v>101.64790393926845</v>
      </c>
      <c r="I720" s="14">
        <v>54.8</v>
      </c>
      <c r="J720" s="9">
        <v>98.1</v>
      </c>
      <c r="K720" s="14">
        <v>145.63360879626035</v>
      </c>
      <c r="L720" s="14">
        <v>174.89882344182453</v>
      </c>
      <c r="M720" s="14">
        <v>165.52317469161315</v>
      </c>
    </row>
    <row r="721" ht="14.25" customHeight="1">
      <c r="A721" s="15">
        <v>284.0</v>
      </c>
      <c r="B721" s="13" t="s">
        <v>65</v>
      </c>
      <c r="C721" s="9">
        <v>76.75972057312262</v>
      </c>
      <c r="D721" s="14">
        <v>49.39917130819761</v>
      </c>
      <c r="E721" s="14">
        <v>97.78980615689638</v>
      </c>
      <c r="F721" s="14">
        <v>104.73987836108266</v>
      </c>
      <c r="G721" s="14">
        <v>148.48978214213423</v>
      </c>
      <c r="H721" s="14">
        <v>101.86276544570985</v>
      </c>
      <c r="I721" s="14">
        <v>55.5</v>
      </c>
      <c r="J721" s="9">
        <v>97.95522214951502</v>
      </c>
      <c r="K721" s="14">
        <v>146.16492817404327</v>
      </c>
      <c r="L721" s="14">
        <v>175.40755627385656</v>
      </c>
      <c r="M721" s="14">
        <v>165.65970559677416</v>
      </c>
    </row>
    <row r="722" ht="14.25" customHeight="1">
      <c r="A722" s="15">
        <v>285.0</v>
      </c>
      <c r="B722" s="13" t="s">
        <v>65</v>
      </c>
      <c r="C722" s="9">
        <v>79.13923533609115</v>
      </c>
      <c r="D722" s="14">
        <v>49.479070792482254</v>
      </c>
      <c r="E722" s="14">
        <v>98.68031855014954</v>
      </c>
      <c r="F722" s="14">
        <v>105.6142917113954</v>
      </c>
      <c r="G722" s="14">
        <v>149.52760047885928</v>
      </c>
      <c r="H722" s="14">
        <v>103.05207832494541</v>
      </c>
      <c r="I722" s="14">
        <v>54.8</v>
      </c>
      <c r="J722" s="9">
        <v>100.5</v>
      </c>
      <c r="K722" s="14">
        <v>148.47536235713702</v>
      </c>
      <c r="L722" s="14">
        <v>178.19308172040755</v>
      </c>
      <c r="M722" s="14">
        <v>169.22671765848506</v>
      </c>
    </row>
    <row r="723" ht="14.25" customHeight="1">
      <c r="A723" s="15">
        <v>286.0</v>
      </c>
      <c r="B723" s="13" t="s">
        <v>65</v>
      </c>
      <c r="C723" s="9">
        <v>74.48624145094195</v>
      </c>
      <c r="D723" s="14">
        <v>47.20378096461088</v>
      </c>
      <c r="E723" s="14">
        <v>92.95474483682958</v>
      </c>
      <c r="F723" s="14">
        <v>101.4843854624282</v>
      </c>
      <c r="G723" s="14">
        <v>144.30709340840858</v>
      </c>
      <c r="H723" s="14">
        <v>99.86291251005065</v>
      </c>
      <c r="I723" s="14">
        <v>53.5</v>
      </c>
      <c r="J723" s="9">
        <v>96.0</v>
      </c>
      <c r="K723" s="14">
        <v>141.84197542901717</v>
      </c>
      <c r="L723" s="14">
        <v>170.70250056817747</v>
      </c>
      <c r="M723" s="14">
        <v>161.61410750571844</v>
      </c>
    </row>
    <row r="724" ht="14.25" customHeight="1">
      <c r="A724" s="15">
        <v>287.0</v>
      </c>
      <c r="B724" s="13" t="s">
        <v>65</v>
      </c>
      <c r="C724" s="9">
        <v>80.42777690513839</v>
      </c>
      <c r="D724" s="14">
        <v>49.9</v>
      </c>
      <c r="E724" s="14">
        <v>101.05840830158446</v>
      </c>
      <c r="F724" s="14">
        <v>107.6726687543113</v>
      </c>
      <c r="G724" s="14">
        <v>151.30596875956556</v>
      </c>
      <c r="H724" s="14">
        <v>103.96202499363723</v>
      </c>
      <c r="I724" s="14">
        <v>56.1</v>
      </c>
      <c r="J724" s="9">
        <v>101.7</v>
      </c>
      <c r="K724" s="14">
        <v>150.4878188684791</v>
      </c>
      <c r="L724" s="14">
        <v>179.96012153616877</v>
      </c>
      <c r="M724" s="14">
        <v>170.65588306010787</v>
      </c>
    </row>
    <row r="725" ht="14.25" customHeight="1">
      <c r="A725" s="15">
        <v>288.0</v>
      </c>
      <c r="B725" s="13" t="s">
        <v>65</v>
      </c>
      <c r="C725" s="9">
        <v>72.4</v>
      </c>
      <c r="D725" s="14">
        <v>44.6</v>
      </c>
      <c r="E725" s="14">
        <v>88.1</v>
      </c>
      <c r="F725" s="14">
        <v>97.6</v>
      </c>
      <c r="G725" s="14">
        <v>139.2</v>
      </c>
      <c r="H725" s="14">
        <v>96.2</v>
      </c>
      <c r="I725" s="14">
        <v>52.1</v>
      </c>
      <c r="J725" s="9">
        <v>92.7</v>
      </c>
      <c r="K725" s="14">
        <v>135.6</v>
      </c>
      <c r="L725" s="14">
        <v>161.6</v>
      </c>
      <c r="M725" s="14">
        <v>153.8</v>
      </c>
    </row>
    <row r="726" ht="14.25" customHeight="1">
      <c r="A726" s="15">
        <v>289.0</v>
      </c>
      <c r="B726" s="13" t="s">
        <v>65</v>
      </c>
      <c r="C726" s="9">
        <v>72.1</v>
      </c>
      <c r="D726" s="14">
        <v>48.4</v>
      </c>
      <c r="E726" s="14">
        <v>92.3</v>
      </c>
      <c r="F726" s="14">
        <v>101.0</v>
      </c>
      <c r="G726" s="14">
        <v>143.0</v>
      </c>
      <c r="H726" s="14">
        <v>98.0</v>
      </c>
      <c r="I726" s="14">
        <v>54.2</v>
      </c>
      <c r="J726" s="9">
        <v>95.9</v>
      </c>
      <c r="K726" s="14">
        <v>140.0</v>
      </c>
      <c r="L726" s="14">
        <v>169.3</v>
      </c>
      <c r="M726" s="14">
        <v>160.4</v>
      </c>
    </row>
    <row r="727" ht="14.25" customHeight="1">
      <c r="A727" s="15">
        <v>290.0</v>
      </c>
      <c r="B727" s="13" t="s">
        <v>65</v>
      </c>
      <c r="C727" s="9">
        <v>72.8</v>
      </c>
      <c r="D727" s="14">
        <v>48.5</v>
      </c>
      <c r="E727" s="14">
        <v>90.1</v>
      </c>
      <c r="F727" s="14">
        <v>100.5</v>
      </c>
      <c r="G727" s="14">
        <v>142.1</v>
      </c>
      <c r="H727" s="14">
        <v>97.5</v>
      </c>
      <c r="I727" s="14">
        <v>55.0</v>
      </c>
      <c r="J727" s="9">
        <v>95.6</v>
      </c>
      <c r="K727" s="14">
        <v>140.0</v>
      </c>
      <c r="L727" s="14">
        <v>166.8</v>
      </c>
      <c r="M727" s="14">
        <v>157.6</v>
      </c>
    </row>
    <row r="728" ht="14.25" customHeight="1">
      <c r="A728" s="15">
        <v>291.0</v>
      </c>
      <c r="B728" s="13" t="s">
        <v>65</v>
      </c>
      <c r="C728" s="9">
        <v>73.4</v>
      </c>
      <c r="D728" s="14">
        <v>46.8</v>
      </c>
      <c r="E728" s="14">
        <v>91.6</v>
      </c>
      <c r="F728" s="14">
        <v>100.8</v>
      </c>
      <c r="G728" s="14">
        <v>143.3</v>
      </c>
      <c r="H728" s="14">
        <v>97.8</v>
      </c>
      <c r="I728" s="14">
        <v>55.0</v>
      </c>
      <c r="J728" s="9">
        <v>93.6</v>
      </c>
      <c r="K728" s="14">
        <v>137.0</v>
      </c>
      <c r="L728" s="14">
        <v>164.5</v>
      </c>
      <c r="M728" s="14">
        <v>147.8</v>
      </c>
    </row>
    <row r="729" ht="14.25" customHeight="1">
      <c r="A729" s="15">
        <v>292.0</v>
      </c>
      <c r="B729" s="13" t="s">
        <v>65</v>
      </c>
      <c r="C729" s="9">
        <v>77.6</v>
      </c>
      <c r="D729" s="14">
        <v>53.2</v>
      </c>
      <c r="E729" s="14">
        <v>99.3</v>
      </c>
      <c r="F729" s="14">
        <v>100.6</v>
      </c>
      <c r="G729" s="14">
        <v>151.6</v>
      </c>
      <c r="H729" s="14">
        <v>101.08011610108457</v>
      </c>
      <c r="I729" s="14">
        <v>55.2</v>
      </c>
      <c r="J729" s="9">
        <v>99.6</v>
      </c>
      <c r="K729" s="14">
        <v>149.9</v>
      </c>
      <c r="L729" s="14">
        <v>178.6</v>
      </c>
      <c r="M729" s="14">
        <v>170.0</v>
      </c>
    </row>
    <row r="730" ht="14.25" customHeight="1">
      <c r="A730" s="15">
        <v>293.0</v>
      </c>
      <c r="B730" s="13" t="s">
        <v>65</v>
      </c>
      <c r="C730" s="9">
        <v>65.3</v>
      </c>
      <c r="D730" s="14">
        <v>49.0</v>
      </c>
      <c r="E730" s="14">
        <v>93.8</v>
      </c>
      <c r="F730" s="14">
        <v>98.9</v>
      </c>
      <c r="G730" s="14">
        <v>141.1</v>
      </c>
      <c r="H730" s="14">
        <v>96.7</v>
      </c>
      <c r="I730" s="14">
        <v>54.2</v>
      </c>
      <c r="J730" s="9">
        <v>89.7</v>
      </c>
      <c r="K730" s="14">
        <v>136.6</v>
      </c>
      <c r="L730" s="14">
        <v>164.7</v>
      </c>
      <c r="M730" s="14">
        <v>154.7</v>
      </c>
    </row>
    <row r="731" ht="14.25" customHeight="1">
      <c r="A731" s="15">
        <v>294.0</v>
      </c>
      <c r="B731" s="13" t="s">
        <v>65</v>
      </c>
      <c r="C731" s="9">
        <v>78.8</v>
      </c>
      <c r="D731" s="14">
        <v>52.5</v>
      </c>
      <c r="E731" s="14">
        <v>105.5</v>
      </c>
      <c r="F731" s="14">
        <v>109.2</v>
      </c>
      <c r="G731" s="14">
        <v>153.4</v>
      </c>
      <c r="H731" s="14">
        <v>104.6</v>
      </c>
      <c r="I731" s="14">
        <v>57.6</v>
      </c>
      <c r="J731" s="9">
        <v>101.6</v>
      </c>
      <c r="K731" s="14">
        <v>152.8</v>
      </c>
      <c r="L731" s="14">
        <v>182.6</v>
      </c>
      <c r="M731" s="14">
        <v>172.0</v>
      </c>
    </row>
    <row r="732" ht="14.25" customHeight="1">
      <c r="A732" s="15">
        <v>295.0</v>
      </c>
      <c r="B732" s="13" t="s">
        <v>65</v>
      </c>
      <c r="C732" s="9">
        <v>70.2</v>
      </c>
      <c r="D732" s="14">
        <v>46.2</v>
      </c>
      <c r="E732" s="14">
        <v>90.8</v>
      </c>
      <c r="F732" s="14">
        <v>98.1</v>
      </c>
      <c r="G732" s="14">
        <v>141.4</v>
      </c>
      <c r="H732" s="14">
        <v>96.0</v>
      </c>
      <c r="I732" s="14">
        <v>55.5</v>
      </c>
      <c r="J732" s="9">
        <v>91.4</v>
      </c>
      <c r="K732" s="14">
        <v>134.6</v>
      </c>
      <c r="L732" s="14">
        <v>160.6</v>
      </c>
      <c r="M732" s="14">
        <v>151.5</v>
      </c>
    </row>
    <row r="733" ht="14.25" customHeight="1">
      <c r="A733" s="15">
        <v>460.0</v>
      </c>
      <c r="B733" s="13" t="s">
        <v>66</v>
      </c>
      <c r="C733" s="9">
        <v>62.2</v>
      </c>
      <c r="D733" s="14">
        <v>57.7</v>
      </c>
      <c r="E733" s="14">
        <v>82.3</v>
      </c>
      <c r="F733" s="14">
        <v>76.1</v>
      </c>
      <c r="G733" s="14">
        <v>119.6</v>
      </c>
      <c r="H733" s="14">
        <v>51.1</v>
      </c>
      <c r="I733" s="14">
        <v>41.9</v>
      </c>
      <c r="J733" s="9">
        <v>81.1</v>
      </c>
      <c r="K733" s="14">
        <v>144.1</v>
      </c>
      <c r="L733" s="14">
        <v>183.38020283769384</v>
      </c>
      <c r="M733" s="14">
        <v>175.02014937792646</v>
      </c>
    </row>
    <row r="734" ht="14.25" customHeight="1">
      <c r="A734" s="15">
        <v>461.0</v>
      </c>
      <c r="B734" s="13" t="s">
        <v>66</v>
      </c>
      <c r="C734" s="9">
        <v>72.8</v>
      </c>
      <c r="D734" s="14">
        <v>62.2</v>
      </c>
      <c r="E734" s="14">
        <v>89.3</v>
      </c>
      <c r="F734" s="14">
        <v>81.6</v>
      </c>
      <c r="G734" s="14">
        <v>127.2</v>
      </c>
      <c r="H734" s="14">
        <v>55.0</v>
      </c>
      <c r="I734" s="14">
        <v>42.9</v>
      </c>
      <c r="J734" s="9">
        <v>79.88659879168826</v>
      </c>
      <c r="K734" s="14">
        <v>151.1</v>
      </c>
      <c r="L734" s="14">
        <v>188.9</v>
      </c>
      <c r="M734" s="14">
        <v>169.3</v>
      </c>
    </row>
    <row r="735" ht="14.25" customHeight="1">
      <c r="A735" s="15">
        <v>462.0</v>
      </c>
      <c r="B735" s="13" t="s">
        <v>66</v>
      </c>
      <c r="C735" s="9">
        <v>68.0</v>
      </c>
      <c r="D735" s="14">
        <v>59.7</v>
      </c>
      <c r="E735" s="14">
        <v>84.06367318746724</v>
      </c>
      <c r="F735" s="14">
        <v>76.4</v>
      </c>
      <c r="G735" s="14">
        <v>122.41196604007399</v>
      </c>
      <c r="H735" s="14">
        <v>52.58998390749256</v>
      </c>
      <c r="I735" s="14">
        <v>42.833840936710764</v>
      </c>
      <c r="J735" s="9">
        <v>79.58394260538795</v>
      </c>
      <c r="K735" s="14">
        <v>142.5264713455775</v>
      </c>
      <c r="L735" s="14">
        <v>180.65278972998976</v>
      </c>
      <c r="M735" s="14">
        <v>172.84375227809588</v>
      </c>
    </row>
    <row r="736" ht="14.25" customHeight="1">
      <c r="A736" s="15">
        <v>463.0</v>
      </c>
      <c r="B736" s="13" t="s">
        <v>66</v>
      </c>
      <c r="C736" s="9">
        <v>66.4</v>
      </c>
      <c r="D736" s="14">
        <v>63.2</v>
      </c>
      <c r="E736" s="14">
        <v>86.51439951186201</v>
      </c>
      <c r="F736" s="14">
        <v>78.4</v>
      </c>
      <c r="G736" s="14">
        <v>126.80833114451491</v>
      </c>
      <c r="H736" s="14">
        <v>54.042492902676464</v>
      </c>
      <c r="I736" s="14">
        <v>42.910577824908096</v>
      </c>
      <c r="J736" s="9">
        <v>80.59158117398252</v>
      </c>
      <c r="K736" s="14">
        <v>146.79546515279134</v>
      </c>
      <c r="L736" s="14">
        <v>185.34984308084498</v>
      </c>
      <c r="M736" s="14">
        <v>176.6736448237061</v>
      </c>
    </row>
    <row r="737" ht="14.25" customHeight="1">
      <c r="A737" s="15">
        <v>464.0</v>
      </c>
      <c r="B737" s="13" t="s">
        <v>66</v>
      </c>
      <c r="C737" s="9">
        <v>66.3</v>
      </c>
      <c r="D737" s="14">
        <v>62.7</v>
      </c>
      <c r="E737" s="14">
        <v>84.7</v>
      </c>
      <c r="F737" s="14">
        <v>79.5</v>
      </c>
      <c r="G737" s="14">
        <v>128.29908154263447</v>
      </c>
      <c r="H737" s="14">
        <v>54.47332605492574</v>
      </c>
      <c r="I737" s="14">
        <v>42.36710699425107</v>
      </c>
      <c r="J737" s="9">
        <v>78.14623362307628</v>
      </c>
      <c r="K737" s="14">
        <v>148.68517690544883</v>
      </c>
      <c r="L737" s="14">
        <v>187.11529983847652</v>
      </c>
      <c r="M737" s="14">
        <v>176.2968658095367</v>
      </c>
    </row>
    <row r="738" ht="14.25" customHeight="1">
      <c r="A738" s="15">
        <v>465.0</v>
      </c>
      <c r="B738" s="13" t="s">
        <v>66</v>
      </c>
      <c r="C738" s="9">
        <v>71.2</v>
      </c>
      <c r="D738" s="14">
        <v>63.1</v>
      </c>
      <c r="E738" s="14">
        <v>86.4</v>
      </c>
      <c r="F738" s="14">
        <v>77.8</v>
      </c>
      <c r="G738" s="14">
        <v>126.2</v>
      </c>
      <c r="H738" s="14">
        <v>53.8</v>
      </c>
      <c r="I738" s="14">
        <v>43.9</v>
      </c>
      <c r="J738" s="9">
        <v>81.6</v>
      </c>
      <c r="K738" s="14">
        <v>146.2</v>
      </c>
      <c r="L738" s="14">
        <v>186.7</v>
      </c>
      <c r="M738" s="14">
        <v>178.4</v>
      </c>
    </row>
    <row r="739" ht="14.25" customHeight="1">
      <c r="A739" s="15">
        <v>466.0</v>
      </c>
      <c r="B739" s="13" t="s">
        <v>66</v>
      </c>
      <c r="C739" s="9">
        <v>71.1</v>
      </c>
      <c r="D739" s="14">
        <v>61.7</v>
      </c>
      <c r="E739" s="14">
        <v>87.8</v>
      </c>
      <c r="F739" s="14">
        <v>78.2</v>
      </c>
      <c r="G739" s="14">
        <v>125.59898945736303</v>
      </c>
      <c r="H739" s="14">
        <v>53.50586703461579</v>
      </c>
      <c r="I739" s="14">
        <v>43.54811530675156</v>
      </c>
      <c r="J739" s="9">
        <v>81.64092759531745</v>
      </c>
      <c r="K739" s="14">
        <v>145.35449246515574</v>
      </c>
      <c r="L739" s="14">
        <v>184.36017546319854</v>
      </c>
      <c r="M739" s="14">
        <v>174.72384288742566</v>
      </c>
    </row>
    <row r="740" ht="14.25" customHeight="1">
      <c r="A740" s="15">
        <v>467.0</v>
      </c>
      <c r="B740" s="13" t="s">
        <v>66</v>
      </c>
      <c r="C740" s="9">
        <v>63.4</v>
      </c>
      <c r="D740" s="14">
        <v>57.6</v>
      </c>
      <c r="E740" s="14">
        <v>80.33255879975589</v>
      </c>
      <c r="F740" s="14">
        <v>74.5</v>
      </c>
      <c r="G740" s="14">
        <v>119.09540011803938</v>
      </c>
      <c r="H740" s="14">
        <v>51.60281571050084</v>
      </c>
      <c r="I740" s="14">
        <v>41.79543417515781</v>
      </c>
      <c r="J740" s="9">
        <v>77.60909458799082</v>
      </c>
      <c r="K740" s="14">
        <v>139.77178819434766</v>
      </c>
      <c r="L740" s="14">
        <v>177.13775933942236</v>
      </c>
      <c r="M740" s="14">
        <v>171.83868780757248</v>
      </c>
    </row>
    <row r="741" ht="14.25" customHeight="1">
      <c r="A741" s="15">
        <v>468.0</v>
      </c>
      <c r="B741" s="13" t="s">
        <v>66</v>
      </c>
      <c r="C741" s="9">
        <v>58.8</v>
      </c>
      <c r="D741" s="14">
        <v>56.8</v>
      </c>
      <c r="E741" s="14">
        <v>74.0</v>
      </c>
      <c r="F741" s="14">
        <v>75.7</v>
      </c>
      <c r="G741" s="14">
        <v>123.0</v>
      </c>
      <c r="H741" s="14">
        <v>52.4</v>
      </c>
      <c r="I741" s="14">
        <v>40.1</v>
      </c>
      <c r="J741" s="9">
        <v>72.3</v>
      </c>
      <c r="K741" s="14">
        <v>143.1</v>
      </c>
      <c r="L741" s="14">
        <v>179.7</v>
      </c>
      <c r="M741" s="14">
        <v>174.1</v>
      </c>
    </row>
    <row r="742" ht="14.25" customHeight="1">
      <c r="A742" s="15">
        <v>469.0</v>
      </c>
      <c r="B742" s="13" t="s">
        <v>66</v>
      </c>
      <c r="C742" s="9">
        <v>63.6</v>
      </c>
      <c r="D742" s="14">
        <v>59.6</v>
      </c>
      <c r="E742" s="14">
        <v>82.2</v>
      </c>
      <c r="F742" s="14">
        <v>78.8</v>
      </c>
      <c r="G742" s="14">
        <v>126.15773502925106</v>
      </c>
      <c r="H742" s="14">
        <v>53.59835550785409</v>
      </c>
      <c r="I742" s="14">
        <v>41.05090195968074</v>
      </c>
      <c r="J742" s="9">
        <v>76.20044681571338</v>
      </c>
      <c r="K742" s="14">
        <v>147.49812307908374</v>
      </c>
      <c r="L742" s="14">
        <v>186.05816877209264</v>
      </c>
      <c r="M742" s="14">
        <v>176.0238598996972</v>
      </c>
    </row>
    <row r="743" ht="14.25" customHeight="1">
      <c r="A743" s="15">
        <v>470.0</v>
      </c>
      <c r="B743" s="13" t="s">
        <v>66</v>
      </c>
      <c r="C743" s="9">
        <v>65.3</v>
      </c>
      <c r="D743" s="14">
        <v>59.6</v>
      </c>
      <c r="E743" s="14">
        <v>84.0</v>
      </c>
      <c r="F743" s="14">
        <v>78.3</v>
      </c>
      <c r="G743" s="14">
        <v>125.26158932840156</v>
      </c>
      <c r="H743" s="14">
        <v>53.276201403258774</v>
      </c>
      <c r="I743" s="14">
        <v>41.59368703813338</v>
      </c>
      <c r="J743" s="9">
        <v>78.1119182607019</v>
      </c>
      <c r="K743" s="14">
        <v>146.2914548354356</v>
      </c>
      <c r="L743" s="14">
        <v>185.16614712629092</v>
      </c>
      <c r="M743" s="14">
        <v>175.90389554888023</v>
      </c>
    </row>
    <row r="744" ht="14.25" customHeight="1">
      <c r="A744" s="15">
        <v>471.0</v>
      </c>
      <c r="B744" s="13" t="s">
        <v>66</v>
      </c>
      <c r="C744" s="9">
        <v>60.2</v>
      </c>
      <c r="D744" s="14">
        <v>58.3</v>
      </c>
      <c r="E744" s="14">
        <v>84.9</v>
      </c>
      <c r="F744" s="14">
        <v>77.1</v>
      </c>
      <c r="G744" s="14">
        <v>123.09496751758265</v>
      </c>
      <c r="H744" s="14">
        <v>52.39340828667025</v>
      </c>
      <c r="I744" s="14">
        <v>40.48498081562939</v>
      </c>
      <c r="J744" s="9">
        <v>79.69203895535689</v>
      </c>
      <c r="K744" s="14">
        <v>144.87212737318475</v>
      </c>
      <c r="L744" s="14">
        <v>184.48601318737914</v>
      </c>
      <c r="M744" s="14">
        <v>179.0008489162514</v>
      </c>
    </row>
    <row r="745" ht="14.25" customHeight="1">
      <c r="A745" s="15">
        <v>472.0</v>
      </c>
      <c r="B745" s="13" t="s">
        <v>66</v>
      </c>
      <c r="C745" s="9">
        <v>62.3</v>
      </c>
      <c r="D745" s="14">
        <v>58.5</v>
      </c>
      <c r="E745" s="14">
        <v>80.4</v>
      </c>
      <c r="F745" s="14">
        <v>74.2</v>
      </c>
      <c r="G745" s="14">
        <v>119.09206847190893</v>
      </c>
      <c r="H745" s="14">
        <v>51.70837976198214</v>
      </c>
      <c r="I745" s="14">
        <v>41.928941212604</v>
      </c>
      <c r="J745" s="9">
        <v>78.00268382612578</v>
      </c>
      <c r="K745" s="14">
        <v>139.58579211586726</v>
      </c>
      <c r="L745" s="14">
        <v>176.70399277698536</v>
      </c>
      <c r="M745" s="14">
        <v>172.2362767355624</v>
      </c>
    </row>
    <row r="746" ht="14.25" customHeight="1">
      <c r="A746" s="15">
        <v>473.0</v>
      </c>
      <c r="B746" s="13" t="s">
        <v>66</v>
      </c>
      <c r="C746" s="9">
        <v>57.9</v>
      </c>
      <c r="D746" s="14">
        <v>55.7</v>
      </c>
      <c r="E746" s="14">
        <v>78.4</v>
      </c>
      <c r="F746" s="14">
        <v>73.1</v>
      </c>
      <c r="G746" s="14">
        <v>116.53943002250773</v>
      </c>
      <c r="H746" s="14">
        <v>50.71087637953413</v>
      </c>
      <c r="I746" s="14">
        <v>40.467730664745964</v>
      </c>
      <c r="J746" s="9">
        <v>76.83717690915849</v>
      </c>
      <c r="K746" s="14">
        <v>138.0388459584744</v>
      </c>
      <c r="L746" s="14">
        <v>175.3781464134159</v>
      </c>
      <c r="M746" s="14">
        <v>173.0494531620601</v>
      </c>
    </row>
    <row r="747" ht="14.25" customHeight="1">
      <c r="A747" s="15">
        <v>474.0</v>
      </c>
      <c r="B747" s="13" t="s">
        <v>66</v>
      </c>
      <c r="C747" s="9">
        <v>60.6</v>
      </c>
      <c r="D747" s="14">
        <v>59.1</v>
      </c>
      <c r="E747" s="14">
        <v>80.2</v>
      </c>
      <c r="F747" s="14">
        <v>74.3</v>
      </c>
      <c r="G747" s="14">
        <v>118.71219318449457</v>
      </c>
      <c r="H747" s="14">
        <v>51.987638335533944</v>
      </c>
      <c r="I747" s="14">
        <v>40.9</v>
      </c>
      <c r="J747" s="9">
        <v>79.1</v>
      </c>
      <c r="K747" s="14">
        <v>141.0</v>
      </c>
      <c r="L747" s="14">
        <v>180.3</v>
      </c>
      <c r="M747" s="14">
        <v>174.8</v>
      </c>
    </row>
    <row r="748" ht="14.25" customHeight="1">
      <c r="A748" s="15">
        <v>475.0</v>
      </c>
      <c r="B748" s="13" t="s">
        <v>66</v>
      </c>
      <c r="C748" s="9">
        <v>63.8</v>
      </c>
      <c r="D748" s="14">
        <v>59.8</v>
      </c>
      <c r="E748" s="14">
        <v>82.4</v>
      </c>
      <c r="F748" s="14">
        <v>75.0</v>
      </c>
      <c r="G748" s="14">
        <v>121.9</v>
      </c>
      <c r="H748" s="14">
        <v>53.2</v>
      </c>
      <c r="I748" s="14">
        <v>41.7</v>
      </c>
      <c r="J748" s="9">
        <v>80.0</v>
      </c>
      <c r="K748" s="14">
        <v>140.7</v>
      </c>
      <c r="L748" s="14">
        <v>175.0</v>
      </c>
      <c r="M748" s="14">
        <v>169.1</v>
      </c>
    </row>
    <row r="749" ht="14.25" customHeight="1">
      <c r="A749" s="15">
        <v>476.0</v>
      </c>
      <c r="B749" s="13" t="s">
        <v>66</v>
      </c>
      <c r="C749" s="9">
        <v>64.7</v>
      </c>
      <c r="D749" s="14">
        <v>58.2</v>
      </c>
      <c r="E749" s="14">
        <v>79.9</v>
      </c>
      <c r="F749" s="14">
        <v>74.0</v>
      </c>
      <c r="G749" s="14">
        <v>119.2</v>
      </c>
      <c r="H749" s="14">
        <v>51.1</v>
      </c>
      <c r="I749" s="14">
        <v>43.7</v>
      </c>
      <c r="J749" s="9">
        <v>77.4</v>
      </c>
      <c r="K749" s="14">
        <v>138.9</v>
      </c>
      <c r="L749" s="14">
        <v>175.2</v>
      </c>
      <c r="M749" s="14">
        <v>169.1</v>
      </c>
    </row>
    <row r="750" ht="14.25" customHeight="1">
      <c r="A750" s="15">
        <v>477.0</v>
      </c>
      <c r="B750" s="13" t="s">
        <v>66</v>
      </c>
      <c r="C750" s="9">
        <v>64.4</v>
      </c>
      <c r="D750" s="14">
        <v>57.8</v>
      </c>
      <c r="E750" s="14">
        <v>81.6</v>
      </c>
      <c r="F750" s="14">
        <v>75.8</v>
      </c>
      <c r="G750" s="14">
        <v>118.4</v>
      </c>
      <c r="H750" s="14">
        <v>52.4</v>
      </c>
      <c r="I750" s="14">
        <v>41.0</v>
      </c>
      <c r="J750" s="9">
        <v>74.5</v>
      </c>
      <c r="K750" s="14">
        <v>139.3</v>
      </c>
      <c r="L750" s="14">
        <v>175.8</v>
      </c>
      <c r="M750" s="14">
        <v>170.4</v>
      </c>
    </row>
    <row r="751" ht="14.25" customHeight="1">
      <c r="A751" s="15">
        <v>478.0</v>
      </c>
      <c r="B751" s="13" t="s">
        <v>66</v>
      </c>
      <c r="C751" s="9">
        <v>69.0</v>
      </c>
      <c r="D751" s="14">
        <v>60.2</v>
      </c>
      <c r="E751" s="14">
        <v>88.5</v>
      </c>
      <c r="F751" s="14">
        <v>79.2</v>
      </c>
      <c r="G751" s="14">
        <v>131.2</v>
      </c>
      <c r="H751" s="14">
        <v>53.8</v>
      </c>
      <c r="I751" s="14">
        <v>41.5</v>
      </c>
      <c r="J751" s="9">
        <v>80.3</v>
      </c>
      <c r="K751" s="14">
        <v>147.3</v>
      </c>
      <c r="L751" s="14">
        <v>190.4</v>
      </c>
      <c r="M751" s="14">
        <v>185.5</v>
      </c>
    </row>
    <row r="752" ht="14.25" customHeight="1">
      <c r="A752" s="15">
        <v>479.0</v>
      </c>
      <c r="B752" s="13" t="s">
        <v>66</v>
      </c>
      <c r="C752" s="9">
        <v>66.3</v>
      </c>
      <c r="D752" s="14">
        <v>63.0</v>
      </c>
      <c r="E752" s="14">
        <v>87.9</v>
      </c>
      <c r="F752" s="14">
        <v>79.2</v>
      </c>
      <c r="G752" s="14">
        <v>129.0</v>
      </c>
      <c r="H752" s="14">
        <v>53.3</v>
      </c>
      <c r="I752" s="14">
        <v>44.1</v>
      </c>
      <c r="J752" s="9">
        <v>82.3</v>
      </c>
      <c r="K752" s="14">
        <v>146.4</v>
      </c>
      <c r="L752" s="14">
        <v>186.8</v>
      </c>
      <c r="M752" s="14">
        <v>180.0</v>
      </c>
    </row>
    <row r="753" ht="14.25" customHeight="1">
      <c r="A753" s="15">
        <v>480.0</v>
      </c>
      <c r="B753" s="13" t="s">
        <v>66</v>
      </c>
      <c r="C753" s="9">
        <v>64.7</v>
      </c>
      <c r="D753" s="14">
        <v>63.4</v>
      </c>
      <c r="E753" s="14">
        <v>87.5</v>
      </c>
      <c r="F753" s="14">
        <v>78.6</v>
      </c>
      <c r="G753" s="14">
        <v>128.4</v>
      </c>
      <c r="H753" s="14">
        <v>55.1</v>
      </c>
      <c r="I753" s="14">
        <v>41.167642395650574</v>
      </c>
      <c r="J753" s="9">
        <v>80.9432425062052</v>
      </c>
      <c r="K753" s="14">
        <v>148.7</v>
      </c>
      <c r="L753" s="14">
        <v>187.8</v>
      </c>
      <c r="M753" s="14">
        <v>180.4</v>
      </c>
    </row>
    <row r="754" ht="14.25" customHeight="1">
      <c r="A754" s="15">
        <v>481.0</v>
      </c>
      <c r="B754" s="13" t="s">
        <v>66</v>
      </c>
      <c r="C754" s="9">
        <v>65.5</v>
      </c>
      <c r="D754" s="14">
        <v>62.6</v>
      </c>
      <c r="E754" s="14">
        <v>88.8</v>
      </c>
      <c r="F754" s="14">
        <v>78.6</v>
      </c>
      <c r="G754" s="14">
        <v>125.5</v>
      </c>
      <c r="H754" s="14">
        <v>53.1</v>
      </c>
      <c r="I754" s="14">
        <v>43.4</v>
      </c>
      <c r="J754" s="9">
        <v>83.7</v>
      </c>
      <c r="K754" s="14">
        <v>147.0</v>
      </c>
      <c r="L754" s="14">
        <v>184.5</v>
      </c>
      <c r="M754" s="14">
        <v>176.9</v>
      </c>
    </row>
    <row r="755" ht="14.25" customHeight="1">
      <c r="A755" s="15">
        <v>482.0</v>
      </c>
      <c r="B755" s="13" t="s">
        <v>66</v>
      </c>
      <c r="C755" s="9">
        <v>61.7</v>
      </c>
      <c r="D755" s="14">
        <v>63.0</v>
      </c>
      <c r="E755" s="14">
        <v>80.5</v>
      </c>
      <c r="F755" s="14">
        <v>75.3</v>
      </c>
      <c r="G755" s="14">
        <v>122.0</v>
      </c>
      <c r="H755" s="14">
        <v>52.8</v>
      </c>
      <c r="I755" s="14">
        <v>43.0</v>
      </c>
      <c r="J755" s="9">
        <v>77.3</v>
      </c>
      <c r="K755" s="14">
        <v>141.3</v>
      </c>
      <c r="L755" s="14">
        <v>176.9</v>
      </c>
      <c r="M755" s="14">
        <v>171.5</v>
      </c>
    </row>
    <row r="756" ht="14.25" customHeight="1">
      <c r="A756" s="15">
        <v>483.0</v>
      </c>
      <c r="B756" s="13" t="s">
        <v>66</v>
      </c>
      <c r="C756" s="9">
        <v>58.2</v>
      </c>
      <c r="D756" s="14">
        <v>60.1</v>
      </c>
      <c r="E756" s="14">
        <v>81.2</v>
      </c>
      <c r="F756" s="14">
        <v>75.5</v>
      </c>
      <c r="G756" s="14">
        <v>121.0</v>
      </c>
      <c r="H756" s="14">
        <v>53.0</v>
      </c>
      <c r="I756" s="14">
        <v>41.0</v>
      </c>
      <c r="J756" s="9">
        <v>74.8</v>
      </c>
      <c r="K756" s="14">
        <v>143.0</v>
      </c>
      <c r="L756" s="14">
        <v>180.9</v>
      </c>
      <c r="M756" s="14">
        <v>174.7</v>
      </c>
    </row>
    <row r="757" ht="14.25" customHeight="1">
      <c r="A757" s="15">
        <v>90.0</v>
      </c>
      <c r="B757" s="13" t="s">
        <v>67</v>
      </c>
      <c r="C757" s="9">
        <v>122.9</v>
      </c>
      <c r="D757" s="9">
        <v>65.3</v>
      </c>
      <c r="E757" s="9">
        <v>116.2</v>
      </c>
      <c r="F757" s="9">
        <v>129.5</v>
      </c>
      <c r="G757" s="9">
        <v>168.3</v>
      </c>
      <c r="H757" s="9">
        <v>93.6</v>
      </c>
      <c r="I757" s="9">
        <v>71.0</v>
      </c>
      <c r="J757" s="9">
        <v>151.54</v>
      </c>
      <c r="K757" s="9">
        <v>225.5</v>
      </c>
      <c r="L757" s="16">
        <v>254.2</v>
      </c>
      <c r="M757" s="9">
        <v>294.3</v>
      </c>
    </row>
    <row r="758" ht="14.25" customHeight="1">
      <c r="A758" s="15">
        <v>91.0</v>
      </c>
      <c r="B758" s="13" t="s">
        <v>67</v>
      </c>
      <c r="C758" s="9">
        <v>127.4</v>
      </c>
      <c r="D758" s="9">
        <v>65.7</v>
      </c>
      <c r="E758" s="9">
        <v>119.3</v>
      </c>
      <c r="F758" s="9">
        <v>119.2</v>
      </c>
      <c r="G758" s="9">
        <v>168.2</v>
      </c>
      <c r="H758" s="9">
        <v>93.9</v>
      </c>
      <c r="I758" s="9">
        <v>70.3</v>
      </c>
      <c r="J758" s="9">
        <v>147.3</v>
      </c>
      <c r="K758" s="9">
        <v>226.4</v>
      </c>
      <c r="L758" s="16">
        <v>260.8</v>
      </c>
      <c r="M758" s="9">
        <v>248.4</v>
      </c>
    </row>
    <row r="759" ht="14.25" customHeight="1">
      <c r="A759" s="15">
        <v>92.0</v>
      </c>
      <c r="B759" s="13" t="s">
        <v>67</v>
      </c>
      <c r="C759" s="9">
        <v>118.6</v>
      </c>
      <c r="D759" s="9">
        <v>65.0</v>
      </c>
      <c r="E759" s="9">
        <v>122.0</v>
      </c>
      <c r="F759" s="9">
        <v>120.0</v>
      </c>
      <c r="G759" s="9">
        <v>166.6</v>
      </c>
      <c r="H759" s="9">
        <v>94.4</v>
      </c>
      <c r="I759" s="9">
        <v>71.5</v>
      </c>
      <c r="J759" s="9">
        <v>150.72</v>
      </c>
      <c r="K759" s="9">
        <v>226.3</v>
      </c>
      <c r="L759" s="16">
        <v>256.7</v>
      </c>
      <c r="M759" s="9">
        <v>264.4</v>
      </c>
    </row>
    <row r="760" ht="14.25" customHeight="1">
      <c r="A760" s="15">
        <v>93.0</v>
      </c>
      <c r="B760" s="13" t="s">
        <v>67</v>
      </c>
      <c r="C760" s="9">
        <v>122.1</v>
      </c>
      <c r="D760" s="9">
        <v>67.2</v>
      </c>
      <c r="E760" s="9">
        <v>128.5</v>
      </c>
      <c r="F760" s="9">
        <v>116.6</v>
      </c>
      <c r="G760" s="9">
        <v>168.5</v>
      </c>
      <c r="H760" s="9">
        <v>95.0</v>
      </c>
      <c r="I760" s="9">
        <v>69.1</v>
      </c>
      <c r="J760" s="9">
        <v>150.2</v>
      </c>
      <c r="K760" s="9">
        <v>229.1</v>
      </c>
      <c r="L760" s="16">
        <v>262.2</v>
      </c>
      <c r="M760" s="9">
        <v>244.3</v>
      </c>
    </row>
    <row r="761" ht="14.25" customHeight="1">
      <c r="A761" s="15">
        <v>94.0</v>
      </c>
      <c r="B761" s="13" t="s">
        <v>67</v>
      </c>
      <c r="C761" s="9">
        <v>116.0</v>
      </c>
      <c r="D761" s="9">
        <v>63.6</v>
      </c>
      <c r="E761" s="9">
        <v>121.4</v>
      </c>
      <c r="F761" s="9">
        <v>113.0</v>
      </c>
      <c r="G761" s="9">
        <v>162.4</v>
      </c>
      <c r="H761" s="9">
        <v>93.4</v>
      </c>
      <c r="I761" s="9">
        <v>68.9</v>
      </c>
      <c r="J761" s="9">
        <v>143.2</v>
      </c>
      <c r="K761" s="9">
        <v>221.0</v>
      </c>
      <c r="L761" s="16">
        <v>249.7</v>
      </c>
      <c r="M761" s="9">
        <v>243.1</v>
      </c>
    </row>
    <row r="762" ht="14.25" customHeight="1">
      <c r="A762" s="15">
        <v>95.0</v>
      </c>
      <c r="B762" s="13" t="s">
        <v>67</v>
      </c>
      <c r="C762" s="9">
        <v>125.2</v>
      </c>
      <c r="D762" s="9">
        <v>67.9</v>
      </c>
      <c r="E762" s="9">
        <v>128.8</v>
      </c>
      <c r="F762" s="9">
        <v>122.1</v>
      </c>
      <c r="G762" s="9">
        <v>173.9</v>
      </c>
      <c r="H762" s="9">
        <v>95.6</v>
      </c>
      <c r="I762" s="9">
        <v>70.1</v>
      </c>
      <c r="J762" s="9">
        <v>149.6</v>
      </c>
      <c r="K762" s="9">
        <v>237.6</v>
      </c>
      <c r="L762" s="16">
        <v>273.5</v>
      </c>
      <c r="M762" s="9">
        <v>261.9</v>
      </c>
    </row>
    <row r="763" ht="14.25" customHeight="1">
      <c r="A763" s="15">
        <v>96.0</v>
      </c>
      <c r="B763" s="13" t="s">
        <v>67</v>
      </c>
      <c r="C763" s="9">
        <v>123.5</v>
      </c>
      <c r="D763" s="9">
        <v>64.9</v>
      </c>
      <c r="E763" s="9">
        <v>120.6</v>
      </c>
      <c r="F763" s="9">
        <v>117.6</v>
      </c>
      <c r="G763" s="9">
        <v>165.5</v>
      </c>
      <c r="H763" s="9">
        <v>94.2</v>
      </c>
      <c r="I763" s="9">
        <v>67.8</v>
      </c>
      <c r="J763" s="9">
        <v>146.0</v>
      </c>
      <c r="K763" s="9">
        <v>223.8</v>
      </c>
      <c r="L763" s="16">
        <v>253.8</v>
      </c>
      <c r="M763" s="9">
        <v>234.7</v>
      </c>
    </row>
    <row r="764" ht="14.25" customHeight="1">
      <c r="A764" s="15">
        <v>97.0</v>
      </c>
      <c r="B764" s="13" t="s">
        <v>67</v>
      </c>
      <c r="C764" s="9">
        <v>127.8</v>
      </c>
      <c r="D764" s="9">
        <v>63.0</v>
      </c>
      <c r="E764" s="9">
        <v>124.7</v>
      </c>
      <c r="F764" s="9">
        <v>118.3</v>
      </c>
      <c r="G764" s="9">
        <v>170.8</v>
      </c>
      <c r="H764" s="9">
        <v>96.1</v>
      </c>
      <c r="I764" s="9">
        <v>70.9</v>
      </c>
      <c r="J764" s="9">
        <v>143.4</v>
      </c>
      <c r="K764" s="9">
        <v>230.4</v>
      </c>
      <c r="L764" s="16">
        <v>260.4</v>
      </c>
      <c r="M764" s="9">
        <v>251.4</v>
      </c>
    </row>
    <row r="765" ht="14.25" customHeight="1">
      <c r="A765" s="15">
        <v>98.0</v>
      </c>
      <c r="B765" s="13" t="s">
        <v>67</v>
      </c>
      <c r="C765" s="9">
        <v>117.4</v>
      </c>
      <c r="D765" s="9">
        <v>67.2</v>
      </c>
      <c r="E765" s="9">
        <v>126.8</v>
      </c>
      <c r="F765" s="9">
        <v>124.0</v>
      </c>
      <c r="G765" s="9">
        <v>170.8</v>
      </c>
      <c r="H765" s="9">
        <v>98.6</v>
      </c>
      <c r="I765" s="9">
        <v>64.9</v>
      </c>
      <c r="J765" s="9">
        <v>154.2</v>
      </c>
      <c r="K765" s="9">
        <v>235.3</v>
      </c>
      <c r="L765" s="16">
        <v>266.7</v>
      </c>
      <c r="M765" s="9">
        <v>257.3</v>
      </c>
    </row>
    <row r="766" ht="14.25" customHeight="1">
      <c r="A766" s="15">
        <v>99.0</v>
      </c>
      <c r="B766" s="13" t="s">
        <v>67</v>
      </c>
      <c r="C766" s="9">
        <v>141.6</v>
      </c>
      <c r="D766" s="9">
        <v>67.6</v>
      </c>
      <c r="E766" s="9">
        <v>130.1</v>
      </c>
      <c r="F766" s="9">
        <v>128.1</v>
      </c>
      <c r="G766" s="9">
        <v>180.0</v>
      </c>
      <c r="H766" s="9">
        <v>101.9</v>
      </c>
      <c r="I766" s="9">
        <v>72.5</v>
      </c>
      <c r="J766" s="9">
        <v>160.8</v>
      </c>
      <c r="K766" s="9">
        <v>243.0</v>
      </c>
      <c r="L766" s="16">
        <v>276.1</v>
      </c>
      <c r="M766" s="9">
        <v>266.2</v>
      </c>
    </row>
    <row r="767" ht="14.25" customHeight="1">
      <c r="A767" s="15">
        <v>100.0</v>
      </c>
      <c r="B767" s="13" t="s">
        <v>67</v>
      </c>
      <c r="C767" s="9">
        <v>111.0</v>
      </c>
      <c r="D767" s="9">
        <v>64.2</v>
      </c>
      <c r="E767" s="9">
        <v>112.0</v>
      </c>
      <c r="F767" s="9">
        <v>117.4</v>
      </c>
      <c r="G767" s="9">
        <v>163.2</v>
      </c>
      <c r="H767" s="9">
        <v>93.7</v>
      </c>
      <c r="I767" s="9">
        <v>65.1</v>
      </c>
      <c r="J767" s="9">
        <v>144.67</v>
      </c>
      <c r="K767" s="9">
        <v>221.7</v>
      </c>
      <c r="L767" s="16">
        <v>257.4</v>
      </c>
      <c r="M767" s="9">
        <v>246.9</v>
      </c>
    </row>
    <row r="768" ht="14.25" customHeight="1">
      <c r="A768" s="15">
        <v>101.0</v>
      </c>
      <c r="B768" s="13" t="s">
        <v>67</v>
      </c>
      <c r="C768" s="9">
        <v>113.0</v>
      </c>
      <c r="D768" s="9">
        <v>64.0</v>
      </c>
      <c r="E768" s="9">
        <v>124.5</v>
      </c>
      <c r="F768" s="9">
        <v>112.0</v>
      </c>
      <c r="G768" s="9">
        <v>159.8</v>
      </c>
      <c r="H768" s="9">
        <v>90.0</v>
      </c>
      <c r="I768" s="9">
        <v>70.3</v>
      </c>
      <c r="J768" s="9">
        <v>148.55</v>
      </c>
      <c r="K768" s="9">
        <v>215.9</v>
      </c>
      <c r="L768" s="16">
        <v>246.4</v>
      </c>
      <c r="M768" s="9">
        <v>293.8</v>
      </c>
    </row>
    <row r="769" ht="14.25" customHeight="1">
      <c r="A769" s="15">
        <v>102.0</v>
      </c>
      <c r="B769" s="13" t="s">
        <v>67</v>
      </c>
      <c r="C769" s="9">
        <v>119.6</v>
      </c>
      <c r="D769" s="9">
        <v>65.0</v>
      </c>
      <c r="E769" s="9">
        <v>120.4</v>
      </c>
      <c r="F769" s="9">
        <v>117.9</v>
      </c>
      <c r="G769" s="9">
        <v>165.4</v>
      </c>
      <c r="H769" s="9">
        <v>91.0</v>
      </c>
      <c r="I769" s="9">
        <v>67.1</v>
      </c>
      <c r="J769" s="9">
        <v>144.6</v>
      </c>
      <c r="K769" s="9">
        <v>226.6</v>
      </c>
      <c r="L769" s="16">
        <v>258.0</v>
      </c>
      <c r="M769" s="9">
        <v>242.4</v>
      </c>
    </row>
    <row r="770" ht="14.25" customHeight="1">
      <c r="A770" s="15">
        <v>103.0</v>
      </c>
      <c r="B770" s="13" t="s">
        <v>67</v>
      </c>
      <c r="C770" s="9">
        <v>125.0</v>
      </c>
      <c r="D770" s="9">
        <v>66.7</v>
      </c>
      <c r="E770" s="9">
        <v>127.5</v>
      </c>
      <c r="F770" s="9">
        <v>117.8</v>
      </c>
      <c r="G770" s="9">
        <v>168.5</v>
      </c>
      <c r="H770" s="9">
        <v>93.8</v>
      </c>
      <c r="I770" s="9">
        <v>71.3</v>
      </c>
      <c r="J770" s="9">
        <v>147.7</v>
      </c>
      <c r="K770" s="9">
        <v>224.3</v>
      </c>
      <c r="L770" s="16">
        <v>255.3</v>
      </c>
      <c r="M770" s="9">
        <v>245.1</v>
      </c>
    </row>
    <row r="771" ht="14.25" customHeight="1">
      <c r="A771" s="15">
        <v>104.0</v>
      </c>
      <c r="B771" s="13" t="s">
        <v>67</v>
      </c>
      <c r="C771" s="9">
        <v>121.1</v>
      </c>
      <c r="D771" s="9">
        <v>65.9</v>
      </c>
      <c r="E771" s="9">
        <v>126.1</v>
      </c>
      <c r="F771" s="9">
        <v>117.8</v>
      </c>
      <c r="G771" s="9">
        <v>166.8</v>
      </c>
      <c r="H771" s="9">
        <v>96.2</v>
      </c>
      <c r="I771" s="9">
        <v>72.4</v>
      </c>
      <c r="J771" s="9">
        <v>147.9</v>
      </c>
      <c r="K771" s="9">
        <v>226.0</v>
      </c>
      <c r="L771" s="16">
        <v>254.2</v>
      </c>
      <c r="M771" s="9">
        <v>243.3</v>
      </c>
    </row>
    <row r="772" ht="14.25" customHeight="1">
      <c r="A772" s="15">
        <v>377.0</v>
      </c>
      <c r="B772" s="13" t="s">
        <v>68</v>
      </c>
      <c r="C772" s="9">
        <v>49.3</v>
      </c>
      <c r="D772" s="14">
        <v>33.4</v>
      </c>
      <c r="E772" s="14">
        <v>60.1</v>
      </c>
      <c r="F772" s="14">
        <v>71.3</v>
      </c>
      <c r="G772" s="14">
        <v>96.6</v>
      </c>
      <c r="H772" s="14">
        <v>71.2</v>
      </c>
      <c r="I772" s="14">
        <v>44.9</v>
      </c>
      <c r="J772" s="9">
        <v>73.7</v>
      </c>
      <c r="K772" s="14">
        <v>97.5</v>
      </c>
      <c r="L772" s="14">
        <v>114.3</v>
      </c>
      <c r="M772" s="14">
        <v>108.1</v>
      </c>
    </row>
    <row r="773" ht="14.25" customHeight="1">
      <c r="A773" s="15">
        <v>378.0</v>
      </c>
      <c r="B773" s="13" t="s">
        <v>68</v>
      </c>
      <c r="C773" s="9">
        <v>53.0</v>
      </c>
      <c r="D773" s="14">
        <v>35.5</v>
      </c>
      <c r="E773" s="14">
        <v>62.9</v>
      </c>
      <c r="F773" s="14">
        <v>72.8</v>
      </c>
      <c r="G773" s="14">
        <v>100.0</v>
      </c>
      <c r="H773" s="14">
        <v>73.8</v>
      </c>
      <c r="I773" s="14">
        <v>45.3</v>
      </c>
      <c r="J773" s="9">
        <v>77.8</v>
      </c>
      <c r="K773" s="14">
        <v>102.1</v>
      </c>
      <c r="L773" s="14">
        <v>119.3</v>
      </c>
      <c r="M773" s="14">
        <v>112.2</v>
      </c>
    </row>
    <row r="774" ht="14.25" customHeight="1">
      <c r="A774" s="15">
        <v>379.0</v>
      </c>
      <c r="B774" s="13" t="s">
        <v>68</v>
      </c>
      <c r="C774" s="9">
        <v>53.4</v>
      </c>
      <c r="D774" s="14">
        <v>36.0</v>
      </c>
      <c r="E774" s="14">
        <v>63.2</v>
      </c>
      <c r="F774" s="14">
        <v>76.6</v>
      </c>
      <c r="G774" s="14">
        <v>104.4</v>
      </c>
      <c r="H774" s="14">
        <v>79.0</v>
      </c>
      <c r="I774" s="14">
        <v>45.2</v>
      </c>
      <c r="J774" s="9">
        <v>84.3</v>
      </c>
      <c r="K774" s="14">
        <v>107.2</v>
      </c>
      <c r="L774" s="14">
        <v>127.2</v>
      </c>
      <c r="M774" s="14">
        <v>121.4</v>
      </c>
    </row>
    <row r="775" ht="14.25" customHeight="1">
      <c r="A775" s="15">
        <v>380.0</v>
      </c>
      <c r="B775" s="13" t="s">
        <v>68</v>
      </c>
      <c r="C775" s="9">
        <v>53.2</v>
      </c>
      <c r="D775" s="14">
        <v>36.6</v>
      </c>
      <c r="E775" s="14">
        <v>63.1</v>
      </c>
      <c r="F775" s="14">
        <v>74.4</v>
      </c>
      <c r="G775" s="14">
        <v>101.6</v>
      </c>
      <c r="H775" s="14">
        <v>73.0</v>
      </c>
      <c r="I775" s="14">
        <v>44.0</v>
      </c>
      <c r="J775" s="9">
        <v>72.9</v>
      </c>
      <c r="K775" s="14">
        <v>103.9</v>
      </c>
      <c r="L775" s="14">
        <v>122.1</v>
      </c>
      <c r="M775" s="14">
        <v>116.9</v>
      </c>
    </row>
    <row r="776" ht="14.25" customHeight="1">
      <c r="A776" s="15">
        <v>381.0</v>
      </c>
      <c r="B776" s="13" t="s">
        <v>68</v>
      </c>
      <c r="C776" s="9">
        <v>53.6</v>
      </c>
      <c r="D776" s="14">
        <v>37.0</v>
      </c>
      <c r="E776" s="14">
        <v>65.3</v>
      </c>
      <c r="F776" s="14">
        <v>72.7</v>
      </c>
      <c r="G776" s="14">
        <v>101.1</v>
      </c>
      <c r="H776" s="14">
        <v>74.27555349330673</v>
      </c>
      <c r="I776" s="14">
        <v>45.2</v>
      </c>
      <c r="J776" s="9">
        <v>76.19273212212602</v>
      </c>
      <c r="K776" s="14">
        <v>104.6</v>
      </c>
      <c r="L776" s="14">
        <v>122.6</v>
      </c>
      <c r="M776" s="14">
        <v>115.6</v>
      </c>
    </row>
    <row r="777" ht="14.25" customHeight="1">
      <c r="A777" s="15">
        <v>382.0</v>
      </c>
      <c r="B777" s="13" t="s">
        <v>68</v>
      </c>
      <c r="C777" s="9">
        <v>50.1</v>
      </c>
      <c r="D777" s="14">
        <v>33.4</v>
      </c>
      <c r="E777" s="14">
        <v>58.6</v>
      </c>
      <c r="F777" s="14">
        <v>71.1</v>
      </c>
      <c r="G777" s="14">
        <v>98.2</v>
      </c>
      <c r="H777" s="14">
        <v>72.6</v>
      </c>
      <c r="I777" s="14">
        <v>40.2</v>
      </c>
      <c r="J777" s="9">
        <v>73.7</v>
      </c>
      <c r="K777" s="14">
        <v>97.3</v>
      </c>
      <c r="L777" s="14">
        <v>115.1</v>
      </c>
      <c r="M777" s="14">
        <v>109.3</v>
      </c>
    </row>
    <row r="778" ht="14.25" customHeight="1">
      <c r="A778" s="15">
        <v>383.0</v>
      </c>
      <c r="B778" s="13" t="s">
        <v>68</v>
      </c>
      <c r="C778" s="9">
        <v>53.6</v>
      </c>
      <c r="D778" s="14">
        <v>37.6</v>
      </c>
      <c r="E778" s="14">
        <v>61.8</v>
      </c>
      <c r="F778" s="14">
        <v>73.6</v>
      </c>
      <c r="G778" s="14">
        <v>99.2</v>
      </c>
      <c r="H778" s="14">
        <v>74.0</v>
      </c>
      <c r="I778" s="14">
        <v>43.5</v>
      </c>
      <c r="J778" s="9">
        <v>71.6</v>
      </c>
      <c r="K778" s="14">
        <v>102.6</v>
      </c>
      <c r="L778" s="14">
        <v>120.4</v>
      </c>
      <c r="M778" s="14">
        <v>113.2</v>
      </c>
    </row>
    <row r="779" ht="14.25" customHeight="1">
      <c r="A779" s="15">
        <v>384.0</v>
      </c>
      <c r="B779" s="13" t="s">
        <v>68</v>
      </c>
      <c r="C779" s="9">
        <v>49.5</v>
      </c>
      <c r="D779" s="14">
        <v>34.1</v>
      </c>
      <c r="E779" s="14">
        <v>62.9</v>
      </c>
      <c r="F779" s="14">
        <v>73.5</v>
      </c>
      <c r="G779" s="14">
        <v>99.0</v>
      </c>
      <c r="H779" s="14">
        <v>71.1</v>
      </c>
      <c r="I779" s="14">
        <v>44.3</v>
      </c>
      <c r="J779" s="9">
        <v>70.8</v>
      </c>
      <c r="K779" s="14">
        <v>103.7</v>
      </c>
      <c r="L779" s="14">
        <v>122.8</v>
      </c>
      <c r="M779" s="14">
        <v>116.0</v>
      </c>
    </row>
    <row r="780" ht="14.25" customHeight="1">
      <c r="A780" s="15">
        <v>385.0</v>
      </c>
      <c r="B780" s="13" t="s">
        <v>68</v>
      </c>
      <c r="C780" s="9">
        <v>48.1</v>
      </c>
      <c r="D780" s="14">
        <v>34.5</v>
      </c>
      <c r="E780" s="14">
        <v>57.2</v>
      </c>
      <c r="F780" s="14">
        <v>70.8</v>
      </c>
      <c r="G780" s="14">
        <v>95.8</v>
      </c>
      <c r="H780" s="14">
        <v>70.8</v>
      </c>
      <c r="I780" s="14">
        <v>43.1</v>
      </c>
      <c r="J780" s="9">
        <v>72.0</v>
      </c>
      <c r="K780" s="14">
        <v>98.0</v>
      </c>
      <c r="L780" s="14">
        <v>114.8</v>
      </c>
      <c r="M780" s="14">
        <v>109.7</v>
      </c>
    </row>
    <row r="781" ht="14.25" customHeight="1">
      <c r="A781" s="15">
        <v>386.0</v>
      </c>
      <c r="B781" s="13" t="s">
        <v>68</v>
      </c>
      <c r="C781" s="9">
        <v>52.7</v>
      </c>
      <c r="D781" s="14">
        <v>34.8</v>
      </c>
      <c r="E781" s="14">
        <v>61.3</v>
      </c>
      <c r="F781" s="14">
        <v>73.1</v>
      </c>
      <c r="G781" s="14">
        <v>99.8</v>
      </c>
      <c r="H781" s="14">
        <v>74.8</v>
      </c>
      <c r="I781" s="14">
        <v>44.5</v>
      </c>
      <c r="J781" s="9">
        <v>74.0</v>
      </c>
      <c r="K781" s="14">
        <v>101.0</v>
      </c>
      <c r="L781" s="14">
        <v>119.4</v>
      </c>
      <c r="M781" s="14">
        <v>114.0</v>
      </c>
    </row>
    <row r="782" ht="14.25" customHeight="1">
      <c r="A782" s="15">
        <v>387.0</v>
      </c>
      <c r="B782" s="13" t="s">
        <v>68</v>
      </c>
      <c r="C782" s="9">
        <v>49.6</v>
      </c>
      <c r="D782" s="14">
        <v>34.1</v>
      </c>
      <c r="E782" s="14">
        <v>58.3</v>
      </c>
      <c r="F782" s="14">
        <v>71.0</v>
      </c>
      <c r="G782" s="14">
        <v>96.5</v>
      </c>
      <c r="H782" s="14">
        <v>73.5</v>
      </c>
      <c r="I782" s="14">
        <v>42.9</v>
      </c>
      <c r="J782" s="9">
        <v>71.5</v>
      </c>
      <c r="K782" s="14">
        <v>97.2</v>
      </c>
      <c r="L782" s="14">
        <v>116.2</v>
      </c>
      <c r="M782" s="14">
        <v>110.0</v>
      </c>
    </row>
    <row r="783" ht="14.25" customHeight="1">
      <c r="A783" s="15">
        <v>388.0</v>
      </c>
      <c r="B783" s="13" t="s">
        <v>68</v>
      </c>
      <c r="C783" s="9">
        <v>52.7</v>
      </c>
      <c r="D783" s="14">
        <v>36.4</v>
      </c>
      <c r="E783" s="14">
        <v>61.8</v>
      </c>
      <c r="F783" s="14">
        <v>69.9</v>
      </c>
      <c r="G783" s="14">
        <v>94.4</v>
      </c>
      <c r="H783" s="14">
        <v>71.5</v>
      </c>
      <c r="I783" s="14">
        <v>44.7</v>
      </c>
      <c r="J783" s="9">
        <v>71.4</v>
      </c>
      <c r="K783" s="14">
        <v>98.5</v>
      </c>
      <c r="L783" s="14">
        <v>117.6</v>
      </c>
      <c r="M783" s="14">
        <v>111.7</v>
      </c>
    </row>
    <row r="784" ht="14.25" customHeight="1">
      <c r="A784" s="15">
        <v>389.0</v>
      </c>
      <c r="B784" s="13" t="s">
        <v>68</v>
      </c>
      <c r="C784" s="9">
        <v>51.2</v>
      </c>
      <c r="D784" s="14">
        <v>37.1</v>
      </c>
      <c r="E784" s="14">
        <v>61.4</v>
      </c>
      <c r="F784" s="14">
        <v>71.6</v>
      </c>
      <c r="G784" s="14">
        <v>98.6</v>
      </c>
      <c r="H784" s="14">
        <v>74.4</v>
      </c>
      <c r="I784" s="14">
        <v>44.6</v>
      </c>
      <c r="J784" s="9">
        <v>74.8</v>
      </c>
      <c r="K784" s="14">
        <v>100.0</v>
      </c>
      <c r="L784" s="14">
        <v>118.6</v>
      </c>
      <c r="M784" s="14">
        <v>111.5</v>
      </c>
    </row>
    <row r="785" ht="14.25" customHeight="1">
      <c r="A785" s="15">
        <v>390.0</v>
      </c>
      <c r="B785" s="13" t="s">
        <v>68</v>
      </c>
      <c r="C785" s="9">
        <v>50.9</v>
      </c>
      <c r="D785" s="14">
        <v>35.7</v>
      </c>
      <c r="E785" s="14">
        <v>57.8</v>
      </c>
      <c r="F785" s="14">
        <v>71.8</v>
      </c>
      <c r="G785" s="14">
        <v>96.6</v>
      </c>
      <c r="H785" s="14">
        <v>71.2</v>
      </c>
      <c r="I785" s="14">
        <v>42.9</v>
      </c>
      <c r="J785" s="9">
        <v>72.0</v>
      </c>
      <c r="K785" s="14">
        <v>99.5</v>
      </c>
      <c r="L785" s="14">
        <v>114.20515970470868</v>
      </c>
      <c r="M785" s="14">
        <v>106.6</v>
      </c>
    </row>
    <row r="786" ht="14.25" customHeight="1">
      <c r="A786" s="15">
        <v>391.0</v>
      </c>
      <c r="B786" s="13" t="s">
        <v>68</v>
      </c>
      <c r="C786" s="9">
        <v>47.9</v>
      </c>
      <c r="D786" s="14">
        <v>33.8</v>
      </c>
      <c r="E786" s="14">
        <v>56.4</v>
      </c>
      <c r="F786" s="14">
        <v>70.7</v>
      </c>
      <c r="G786" s="14">
        <v>96.2</v>
      </c>
      <c r="H786" s="14">
        <v>73.4</v>
      </c>
      <c r="I786" s="14">
        <v>43.5</v>
      </c>
      <c r="J786" s="9">
        <v>75.2</v>
      </c>
      <c r="K786" s="14">
        <v>96.4</v>
      </c>
      <c r="L786" s="14">
        <v>113.33650141478459</v>
      </c>
      <c r="M786" s="14">
        <v>107.3</v>
      </c>
    </row>
    <row r="787" ht="14.25" customHeight="1">
      <c r="A787" s="15">
        <v>392.0</v>
      </c>
      <c r="B787" s="13" t="s">
        <v>68</v>
      </c>
      <c r="C787" s="9">
        <v>49.2</v>
      </c>
      <c r="D787" s="14">
        <v>32.5</v>
      </c>
      <c r="E787" s="14">
        <v>59.4</v>
      </c>
      <c r="F787" s="14">
        <v>69.3</v>
      </c>
      <c r="G787" s="14">
        <v>96.0</v>
      </c>
      <c r="H787" s="14">
        <v>73.1</v>
      </c>
      <c r="I787" s="14">
        <v>42.7</v>
      </c>
      <c r="J787" s="9">
        <v>72.5</v>
      </c>
      <c r="K787" s="14">
        <v>96.6</v>
      </c>
      <c r="L787" s="14">
        <v>116.1</v>
      </c>
      <c r="M787" s="14">
        <v>111.1</v>
      </c>
    </row>
    <row r="788" ht="14.25" customHeight="1">
      <c r="A788" s="15">
        <v>393.0</v>
      </c>
      <c r="B788" s="13" t="s">
        <v>68</v>
      </c>
      <c r="C788" s="9">
        <v>52.9</v>
      </c>
      <c r="D788" s="14">
        <v>36.2</v>
      </c>
      <c r="E788" s="14">
        <v>59.4</v>
      </c>
      <c r="F788" s="14">
        <v>72.3</v>
      </c>
      <c r="G788" s="14">
        <v>98.9</v>
      </c>
      <c r="H788" s="14">
        <v>71.7</v>
      </c>
      <c r="I788" s="14">
        <v>45.8</v>
      </c>
      <c r="J788" s="9">
        <v>74.6</v>
      </c>
      <c r="K788" s="14">
        <v>99.4</v>
      </c>
      <c r="L788" s="14">
        <v>119.0</v>
      </c>
      <c r="M788" s="14">
        <v>112.9</v>
      </c>
    </row>
    <row r="789" ht="14.25" customHeight="1">
      <c r="A789" s="15">
        <v>394.0</v>
      </c>
      <c r="B789" s="13" t="s">
        <v>68</v>
      </c>
      <c r="C789" s="9">
        <v>56.3</v>
      </c>
      <c r="D789" s="14">
        <v>39.1</v>
      </c>
      <c r="E789" s="14">
        <v>68.8</v>
      </c>
      <c r="F789" s="14">
        <v>78.0</v>
      </c>
      <c r="G789" s="14">
        <v>108.9</v>
      </c>
      <c r="H789" s="14">
        <v>80.6</v>
      </c>
      <c r="I789" s="14">
        <v>46.1</v>
      </c>
      <c r="J789" s="9">
        <v>79.7</v>
      </c>
      <c r="K789" s="14">
        <v>111.3</v>
      </c>
      <c r="L789" s="14">
        <v>130.1</v>
      </c>
      <c r="M789" s="14">
        <v>124.1</v>
      </c>
    </row>
    <row r="790" ht="14.25" customHeight="1">
      <c r="A790" s="15">
        <v>395.0</v>
      </c>
      <c r="B790" s="13" t="s">
        <v>68</v>
      </c>
      <c r="C790" s="9">
        <v>52.5</v>
      </c>
      <c r="D790" s="14">
        <v>38.4</v>
      </c>
      <c r="E790" s="14">
        <v>63.2</v>
      </c>
      <c r="F790" s="14">
        <v>74.8</v>
      </c>
      <c r="G790" s="14">
        <v>98.0</v>
      </c>
      <c r="H790" s="14">
        <v>70.7</v>
      </c>
      <c r="I790" s="14">
        <v>45.5</v>
      </c>
      <c r="J790" s="9">
        <v>77.4</v>
      </c>
      <c r="K790" s="14">
        <v>102.6</v>
      </c>
      <c r="L790" s="14">
        <v>118.2</v>
      </c>
      <c r="M790" s="14">
        <v>112.1</v>
      </c>
    </row>
    <row r="791" ht="14.25" customHeight="1">
      <c r="A791" s="15">
        <v>396.0</v>
      </c>
      <c r="B791" s="13" t="s">
        <v>68</v>
      </c>
      <c r="C791" s="9">
        <v>49.9</v>
      </c>
      <c r="D791" s="14">
        <v>36.1</v>
      </c>
      <c r="E791" s="14">
        <v>62.4</v>
      </c>
      <c r="F791" s="14">
        <v>72.8</v>
      </c>
      <c r="G791" s="14">
        <v>100.3</v>
      </c>
      <c r="H791" s="14">
        <v>76.9</v>
      </c>
      <c r="I791" s="14">
        <v>44.4</v>
      </c>
      <c r="J791" s="9">
        <v>77.6</v>
      </c>
      <c r="K791" s="14">
        <v>100.1</v>
      </c>
      <c r="L791" s="14">
        <v>120.0</v>
      </c>
      <c r="M791" s="14">
        <v>114.3</v>
      </c>
    </row>
    <row r="792" ht="14.25" customHeight="1">
      <c r="A792" s="15">
        <v>397.0</v>
      </c>
      <c r="B792" s="13" t="s">
        <v>68</v>
      </c>
      <c r="C792" s="9">
        <v>53.9</v>
      </c>
      <c r="D792" s="14">
        <v>38.4</v>
      </c>
      <c r="E792" s="14">
        <v>64.8</v>
      </c>
      <c r="F792" s="14">
        <v>73.5</v>
      </c>
      <c r="G792" s="14">
        <v>102.2</v>
      </c>
      <c r="H792" s="14">
        <v>75.7</v>
      </c>
      <c r="I792" s="14">
        <v>46.1</v>
      </c>
      <c r="J792" s="9">
        <v>79.9</v>
      </c>
      <c r="K792" s="14">
        <v>103.1</v>
      </c>
      <c r="L792" s="14">
        <v>122.2</v>
      </c>
      <c r="M792" s="14">
        <v>116.0</v>
      </c>
    </row>
    <row r="793" ht="14.25" customHeight="1">
      <c r="A793" s="15">
        <v>398.0</v>
      </c>
      <c r="B793" s="13" t="s">
        <v>68</v>
      </c>
      <c r="C793" s="9">
        <v>47.7</v>
      </c>
      <c r="D793" s="14">
        <v>33.8</v>
      </c>
      <c r="E793" s="14">
        <v>58.4</v>
      </c>
      <c r="F793" s="14">
        <v>71.1</v>
      </c>
      <c r="G793" s="14">
        <v>95.7</v>
      </c>
      <c r="H793" s="14">
        <v>70.1</v>
      </c>
      <c r="I793" s="14">
        <v>44.9</v>
      </c>
      <c r="J793" s="9">
        <v>75.9</v>
      </c>
      <c r="K793" s="14">
        <v>97.0</v>
      </c>
      <c r="L793" s="14">
        <v>113.5</v>
      </c>
      <c r="M793" s="14">
        <v>107.4</v>
      </c>
    </row>
    <row r="794" ht="14.25" customHeight="1">
      <c r="A794" s="15">
        <v>399.0</v>
      </c>
      <c r="B794" s="13" t="s">
        <v>68</v>
      </c>
      <c r="C794" s="9">
        <v>55.8</v>
      </c>
      <c r="D794" s="14">
        <v>36.1</v>
      </c>
      <c r="E794" s="14">
        <v>64.8</v>
      </c>
      <c r="F794" s="14">
        <v>75.9</v>
      </c>
      <c r="G794" s="14">
        <v>100.2</v>
      </c>
      <c r="H794" s="14">
        <v>73.8</v>
      </c>
      <c r="I794" s="14">
        <v>45.6</v>
      </c>
      <c r="J794" s="9">
        <v>74.4</v>
      </c>
      <c r="K794" s="14">
        <v>104.4</v>
      </c>
      <c r="L794" s="14">
        <v>119.7</v>
      </c>
      <c r="M794" s="14">
        <v>114.5</v>
      </c>
    </row>
    <row r="795" ht="14.25" customHeight="1">
      <c r="A795" s="15">
        <v>400.0</v>
      </c>
      <c r="B795" s="13" t="s">
        <v>68</v>
      </c>
      <c r="C795" s="9">
        <v>51.6</v>
      </c>
      <c r="D795" s="14">
        <v>37.7</v>
      </c>
      <c r="E795" s="14">
        <v>62.0</v>
      </c>
      <c r="F795" s="14">
        <v>70.8</v>
      </c>
      <c r="G795" s="14">
        <v>97.5</v>
      </c>
      <c r="H795" s="14">
        <v>73.1</v>
      </c>
      <c r="I795" s="14">
        <v>45.3</v>
      </c>
      <c r="J795" s="9">
        <v>72.3</v>
      </c>
      <c r="K795" s="14">
        <v>100.4</v>
      </c>
      <c r="L795" s="14">
        <v>118.4</v>
      </c>
      <c r="M795" s="14">
        <v>111.8</v>
      </c>
    </row>
    <row r="796" ht="14.25" customHeight="1">
      <c r="A796" s="15">
        <v>401.0</v>
      </c>
      <c r="B796" s="13" t="s">
        <v>68</v>
      </c>
      <c r="C796" s="9">
        <v>54.4</v>
      </c>
      <c r="D796" s="14">
        <v>38.7</v>
      </c>
      <c r="E796" s="14">
        <v>60.1</v>
      </c>
      <c r="F796" s="14">
        <v>77.7</v>
      </c>
      <c r="G796" s="14">
        <v>99.3</v>
      </c>
      <c r="H796" s="14">
        <v>76.8</v>
      </c>
      <c r="I796" s="14">
        <v>42.5</v>
      </c>
      <c r="J796" s="9">
        <v>70.2</v>
      </c>
      <c r="K796" s="14">
        <v>106.5</v>
      </c>
      <c r="L796" s="14">
        <v>122.0</v>
      </c>
      <c r="M796" s="14">
        <v>116.8</v>
      </c>
    </row>
    <row r="797" ht="14.25" customHeight="1">
      <c r="A797" s="15">
        <v>402.0</v>
      </c>
      <c r="B797" s="13" t="s">
        <v>68</v>
      </c>
      <c r="C797" s="9">
        <v>47.7</v>
      </c>
      <c r="D797" s="14">
        <v>33.8</v>
      </c>
      <c r="E797" s="14">
        <v>56.3</v>
      </c>
      <c r="F797" s="14">
        <v>70.7</v>
      </c>
      <c r="G797" s="14">
        <v>96.2</v>
      </c>
      <c r="H797" s="14">
        <v>73.3</v>
      </c>
      <c r="I797" s="14">
        <v>43.3</v>
      </c>
      <c r="J797" s="9">
        <v>74.4</v>
      </c>
      <c r="K797" s="14">
        <v>95.9</v>
      </c>
      <c r="L797" s="14">
        <v>113.1306400288081</v>
      </c>
      <c r="M797" s="14">
        <v>107.4</v>
      </c>
    </row>
    <row r="798" ht="14.25" customHeight="1">
      <c r="A798" s="15">
        <v>403.0</v>
      </c>
      <c r="B798" s="13" t="s">
        <v>68</v>
      </c>
      <c r="C798" s="9">
        <v>49.4</v>
      </c>
      <c r="D798" s="14">
        <v>35.61859679341313</v>
      </c>
      <c r="E798" s="14">
        <v>58.76872935476861</v>
      </c>
      <c r="F798" s="14">
        <v>70.5</v>
      </c>
      <c r="G798" s="14">
        <v>95.1</v>
      </c>
      <c r="H798" s="14">
        <v>72.3</v>
      </c>
      <c r="I798" s="14">
        <v>43.1</v>
      </c>
      <c r="J798" s="9">
        <v>74.2</v>
      </c>
      <c r="K798" s="14">
        <v>98.3</v>
      </c>
      <c r="L798" s="14">
        <v>113.8</v>
      </c>
      <c r="M798" s="14">
        <v>108.0</v>
      </c>
    </row>
    <row r="799" ht="14.25" customHeight="1">
      <c r="A799" s="15">
        <v>404.0</v>
      </c>
      <c r="B799" s="13" t="s">
        <v>68</v>
      </c>
      <c r="C799" s="9">
        <v>49.0</v>
      </c>
      <c r="D799" s="14">
        <v>32.7</v>
      </c>
      <c r="E799" s="14">
        <v>59.3</v>
      </c>
      <c r="F799" s="14">
        <v>70.8</v>
      </c>
      <c r="G799" s="14">
        <v>97.4</v>
      </c>
      <c r="H799" s="14">
        <v>70.8</v>
      </c>
      <c r="I799" s="14">
        <v>44.6</v>
      </c>
      <c r="J799" s="9">
        <v>74.1</v>
      </c>
      <c r="K799" s="14">
        <v>98.5</v>
      </c>
      <c r="L799" s="14">
        <v>114.8</v>
      </c>
      <c r="M799" s="14">
        <v>108.5</v>
      </c>
    </row>
    <row r="800" ht="14.25" customHeight="1">
      <c r="A800" s="15">
        <v>405.0</v>
      </c>
      <c r="B800" s="13" t="s">
        <v>68</v>
      </c>
      <c r="C800" s="9">
        <v>49.2</v>
      </c>
      <c r="D800" s="14">
        <v>34.7</v>
      </c>
      <c r="E800" s="14">
        <v>62.4</v>
      </c>
      <c r="F800" s="14">
        <v>70.7</v>
      </c>
      <c r="G800" s="14">
        <v>97.0</v>
      </c>
      <c r="H800" s="14">
        <v>71.5</v>
      </c>
      <c r="I800" s="14">
        <v>43.9</v>
      </c>
      <c r="J800" s="9">
        <v>75.0</v>
      </c>
      <c r="K800" s="14">
        <v>98.1</v>
      </c>
      <c r="L800" s="14">
        <v>116.6</v>
      </c>
      <c r="M800" s="14">
        <v>110.4</v>
      </c>
    </row>
    <row r="801" ht="14.25" customHeight="1">
      <c r="A801" s="15">
        <v>406.0</v>
      </c>
      <c r="B801" s="13" t="s">
        <v>68</v>
      </c>
      <c r="C801" s="9">
        <v>50.1</v>
      </c>
      <c r="D801" s="14">
        <v>35.6</v>
      </c>
      <c r="E801" s="14">
        <v>66.5</v>
      </c>
      <c r="F801" s="14">
        <v>72.5</v>
      </c>
      <c r="G801" s="14">
        <v>98.7</v>
      </c>
      <c r="H801" s="14">
        <v>72.8</v>
      </c>
      <c r="I801" s="14">
        <v>44.0</v>
      </c>
      <c r="J801" s="9">
        <v>76.4</v>
      </c>
      <c r="K801" s="14">
        <v>101.8</v>
      </c>
      <c r="L801" s="14">
        <v>120.9</v>
      </c>
      <c r="M801" s="14">
        <v>115.6</v>
      </c>
    </row>
    <row r="802" ht="14.25" customHeight="1">
      <c r="A802" s="15">
        <v>407.0</v>
      </c>
      <c r="B802" s="13" t="s">
        <v>68</v>
      </c>
      <c r="C802" s="9">
        <v>52.0</v>
      </c>
      <c r="D802" s="14">
        <v>36.0</v>
      </c>
      <c r="E802" s="14">
        <v>66.4</v>
      </c>
      <c r="F802" s="14">
        <v>74.9</v>
      </c>
      <c r="G802" s="14">
        <v>103.2</v>
      </c>
      <c r="H802" s="14">
        <v>76.4</v>
      </c>
      <c r="I802" s="14">
        <v>45.0</v>
      </c>
      <c r="J802" s="9">
        <v>80.2</v>
      </c>
      <c r="K802" s="14">
        <v>103.1</v>
      </c>
      <c r="L802" s="14">
        <v>121.2</v>
      </c>
      <c r="M802" s="14">
        <v>115.1</v>
      </c>
    </row>
    <row r="803" ht="14.25" customHeight="1">
      <c r="A803" s="15">
        <v>408.0</v>
      </c>
      <c r="B803" s="13" t="s">
        <v>68</v>
      </c>
      <c r="C803" s="9">
        <v>49.9</v>
      </c>
      <c r="D803" s="14">
        <v>38.4</v>
      </c>
      <c r="E803" s="14">
        <v>63.7</v>
      </c>
      <c r="F803" s="14">
        <v>71.0</v>
      </c>
      <c r="G803" s="14">
        <v>98.7</v>
      </c>
      <c r="H803" s="14">
        <v>73.3</v>
      </c>
      <c r="I803" s="14">
        <v>44.9</v>
      </c>
      <c r="J803" s="9">
        <v>80.1</v>
      </c>
      <c r="K803" s="14">
        <v>103.1</v>
      </c>
      <c r="L803" s="14">
        <v>121.0</v>
      </c>
      <c r="M803" s="14">
        <v>115.1</v>
      </c>
    </row>
    <row r="804" ht="14.25" customHeight="1">
      <c r="A804" s="15">
        <v>409.0</v>
      </c>
      <c r="B804" s="13" t="s">
        <v>68</v>
      </c>
      <c r="C804" s="9">
        <v>48.6</v>
      </c>
      <c r="D804" s="14">
        <v>33.6</v>
      </c>
      <c r="E804" s="14">
        <v>58.9</v>
      </c>
      <c r="F804" s="14">
        <v>72.8</v>
      </c>
      <c r="G804" s="14">
        <v>99.0</v>
      </c>
      <c r="H804" s="14">
        <v>72.5</v>
      </c>
      <c r="I804" s="14">
        <v>43.5</v>
      </c>
      <c r="J804" s="9">
        <v>76.3</v>
      </c>
      <c r="K804" s="14">
        <v>98.7</v>
      </c>
      <c r="L804" s="14">
        <v>116.3</v>
      </c>
      <c r="M804" s="14">
        <v>115.5</v>
      </c>
    </row>
    <row r="805" ht="14.25" customHeight="1">
      <c r="A805" s="15">
        <v>410.0</v>
      </c>
      <c r="B805" s="13" t="s">
        <v>68</v>
      </c>
      <c r="C805" s="9">
        <v>50.2</v>
      </c>
      <c r="D805" s="14">
        <v>35.8</v>
      </c>
      <c r="E805" s="14">
        <v>60.5</v>
      </c>
      <c r="F805" s="14">
        <v>71.9</v>
      </c>
      <c r="G805" s="14">
        <v>98.0</v>
      </c>
      <c r="H805" s="14">
        <v>76.0</v>
      </c>
      <c r="I805" s="14">
        <v>43.2</v>
      </c>
      <c r="J805" s="9">
        <v>76.5</v>
      </c>
      <c r="K805" s="14">
        <v>98.6</v>
      </c>
      <c r="L805" s="14">
        <v>115.6</v>
      </c>
      <c r="M805" s="14">
        <v>109.1</v>
      </c>
    </row>
    <row r="806" ht="14.25" customHeight="1">
      <c r="A806" s="15">
        <v>296.0</v>
      </c>
      <c r="B806" s="13" t="s">
        <v>69</v>
      </c>
      <c r="C806" s="9">
        <v>85.4</v>
      </c>
      <c r="D806" s="14">
        <v>54.6317588376605</v>
      </c>
      <c r="E806" s="14">
        <v>102.8</v>
      </c>
      <c r="F806" s="14">
        <v>117.83926486857067</v>
      </c>
      <c r="G806" s="14">
        <v>163.57619997289223</v>
      </c>
      <c r="H806" s="14">
        <v>102.23923243786223</v>
      </c>
      <c r="I806" s="14">
        <v>60.69667156055513</v>
      </c>
      <c r="J806" s="9">
        <v>110.38957433558649</v>
      </c>
      <c r="K806" s="14">
        <v>168.82220263104642</v>
      </c>
      <c r="L806" s="14">
        <v>204.51302852926375</v>
      </c>
      <c r="M806" s="14">
        <v>190.48812854676865</v>
      </c>
    </row>
    <row r="807" ht="14.25" customHeight="1">
      <c r="A807" s="15">
        <v>297.0</v>
      </c>
      <c r="B807" s="13" t="s">
        <v>69</v>
      </c>
      <c r="C807" s="9">
        <v>94.0</v>
      </c>
      <c r="D807" s="14">
        <v>65.0</v>
      </c>
      <c r="E807" s="14">
        <v>132.0</v>
      </c>
      <c r="F807" s="14">
        <v>132.0</v>
      </c>
      <c r="G807" s="14">
        <v>176.99669914702392</v>
      </c>
      <c r="H807" s="14">
        <v>111.29220422031209</v>
      </c>
      <c r="I807" s="14">
        <v>63.57803797102437</v>
      </c>
      <c r="J807" s="9">
        <v>116.19560923552287</v>
      </c>
      <c r="K807" s="14">
        <v>195.41978261300767</v>
      </c>
      <c r="L807" s="14">
        <v>225.40882741938245</v>
      </c>
      <c r="M807" s="14">
        <v>212.65455838995734</v>
      </c>
    </row>
    <row r="808" ht="14.25" customHeight="1">
      <c r="A808" s="15">
        <v>298.0</v>
      </c>
      <c r="B808" s="13" t="s">
        <v>69</v>
      </c>
      <c r="C808" s="9">
        <v>85.8</v>
      </c>
      <c r="D808" s="14">
        <v>57.74299589645638</v>
      </c>
      <c r="E808" s="14">
        <v>114.9</v>
      </c>
      <c r="F808" s="14">
        <v>123.17209580351442</v>
      </c>
      <c r="G808" s="14">
        <v>167.03494763460807</v>
      </c>
      <c r="H808" s="14">
        <v>104.8593993121598</v>
      </c>
      <c r="I808" s="14">
        <v>61.30340115146134</v>
      </c>
      <c r="J808" s="9">
        <v>111.97813643417541</v>
      </c>
      <c r="K808" s="14">
        <v>177.4258597036232</v>
      </c>
      <c r="L808" s="14">
        <v>210.57104069203083</v>
      </c>
      <c r="M808" s="14">
        <v>197.0886418531726</v>
      </c>
    </row>
    <row r="809" ht="14.25" customHeight="1">
      <c r="A809" s="15">
        <v>299.0</v>
      </c>
      <c r="B809" s="13" t="s">
        <v>69</v>
      </c>
      <c r="C809" s="9">
        <v>95.0</v>
      </c>
      <c r="D809" s="14">
        <v>64.0</v>
      </c>
      <c r="E809" s="14">
        <v>119.0</v>
      </c>
      <c r="F809" s="14">
        <v>133.0</v>
      </c>
      <c r="G809" s="14">
        <v>176.94722494343895</v>
      </c>
      <c r="H809" s="14">
        <v>111.18738318182143</v>
      </c>
      <c r="I809" s="14">
        <v>64.79310595686552</v>
      </c>
      <c r="J809" s="9">
        <v>117.86904513145552</v>
      </c>
      <c r="K809" s="14">
        <v>200.0</v>
      </c>
      <c r="L809" s="14">
        <v>230.97426732792584</v>
      </c>
      <c r="M809" s="14">
        <v>218.7775352873671</v>
      </c>
    </row>
    <row r="810" ht="14.25" customHeight="1">
      <c r="A810" s="15">
        <v>300.0</v>
      </c>
      <c r="B810" s="13" t="s">
        <v>69</v>
      </c>
      <c r="C810" s="9">
        <v>95.1</v>
      </c>
      <c r="D810" s="14">
        <v>59.59523490311685</v>
      </c>
      <c r="E810" s="14">
        <v>117.3</v>
      </c>
      <c r="F810" s="14">
        <v>124.3</v>
      </c>
      <c r="G810" s="14">
        <v>172.94671730018945</v>
      </c>
      <c r="H810" s="14">
        <v>107.81231396574458</v>
      </c>
      <c r="I810" s="14">
        <v>62.49006228518084</v>
      </c>
      <c r="J810" s="9">
        <v>112.31409294103175</v>
      </c>
      <c r="K810" s="14">
        <v>182.7688586086874</v>
      </c>
      <c r="L810" s="14">
        <v>216.20389947308718</v>
      </c>
      <c r="M810" s="14">
        <v>202.808703966384</v>
      </c>
    </row>
    <row r="811" ht="14.25" customHeight="1">
      <c r="A811" s="15">
        <v>301.0</v>
      </c>
      <c r="B811" s="13" t="s">
        <v>69</v>
      </c>
      <c r="C811" s="9">
        <v>89.0</v>
      </c>
      <c r="D811" s="14">
        <v>57.99308310862041</v>
      </c>
      <c r="E811" s="14">
        <v>112.2</v>
      </c>
      <c r="F811" s="14">
        <v>123.33359554859383</v>
      </c>
      <c r="G811" s="14">
        <v>168.67578086085712</v>
      </c>
      <c r="H811" s="14">
        <v>105.62281668792562</v>
      </c>
      <c r="I811" s="14">
        <v>61.84100095596071</v>
      </c>
      <c r="J811" s="9">
        <v>112.26648048894351</v>
      </c>
      <c r="K811" s="14">
        <v>178.91872701014236</v>
      </c>
      <c r="L811" s="14">
        <v>212.61236309590922</v>
      </c>
      <c r="M811" s="14">
        <v>199.12166010357333</v>
      </c>
    </row>
    <row r="812" ht="14.25" customHeight="1">
      <c r="A812" s="15">
        <v>302.0</v>
      </c>
      <c r="B812" s="13" t="s">
        <v>69</v>
      </c>
      <c r="C812" s="9">
        <v>98.9</v>
      </c>
      <c r="D812" s="14">
        <v>64.43401260004048</v>
      </c>
      <c r="E812" s="14">
        <v>124.99223285842025</v>
      </c>
      <c r="F812" s="14">
        <v>134.0</v>
      </c>
      <c r="G812" s="14">
        <v>179.75285218422536</v>
      </c>
      <c r="H812" s="14">
        <v>112.68767218905839</v>
      </c>
      <c r="I812" s="14">
        <v>64.6717492560272</v>
      </c>
      <c r="J812" s="9">
        <v>116.34149772641953</v>
      </c>
      <c r="K812" s="14">
        <v>199.65682866293716</v>
      </c>
      <c r="L812" s="14">
        <v>230.34350710809912</v>
      </c>
      <c r="M812" s="14">
        <v>217.85386601283142</v>
      </c>
    </row>
    <row r="813" ht="14.25" customHeight="1">
      <c r="A813" s="15">
        <v>303.0</v>
      </c>
      <c r="B813" s="13" t="s">
        <v>69</v>
      </c>
      <c r="C813" s="9">
        <v>93.8</v>
      </c>
      <c r="D813" s="14">
        <v>60.229018999165206</v>
      </c>
      <c r="E813" s="14">
        <v>115.6</v>
      </c>
      <c r="F813" s="14">
        <v>126.8</v>
      </c>
      <c r="G813" s="14">
        <v>173.1032750143253</v>
      </c>
      <c r="H813" s="14">
        <v>108.29541728065213</v>
      </c>
      <c r="I813" s="14">
        <v>62.97982073232311</v>
      </c>
      <c r="J813" s="9">
        <v>113.64902182860556</v>
      </c>
      <c r="K813" s="14">
        <v>186.2666342568884</v>
      </c>
      <c r="L813" s="14">
        <v>219.2074829849193</v>
      </c>
      <c r="M813" s="14">
        <v>206.03369316169793</v>
      </c>
    </row>
    <row r="814" ht="14.25" customHeight="1">
      <c r="A814" s="15">
        <v>304.0</v>
      </c>
      <c r="B814" s="13" t="s">
        <v>69</v>
      </c>
      <c r="C814" s="9">
        <v>93.0</v>
      </c>
      <c r="D814" s="14">
        <v>63.0</v>
      </c>
      <c r="E814" s="14">
        <v>124.0</v>
      </c>
      <c r="F814" s="14">
        <v>130.4806433474212</v>
      </c>
      <c r="G814" s="14">
        <v>175.01971991844403</v>
      </c>
      <c r="H814" s="14">
        <v>109.97451541803842</v>
      </c>
      <c r="I814" s="14">
        <v>63.41912363120969</v>
      </c>
      <c r="J814" s="9">
        <v>115.50095908868788</v>
      </c>
      <c r="K814" s="14">
        <v>192.2692984680324</v>
      </c>
      <c r="L814" s="14">
        <v>223.38927150656335</v>
      </c>
      <c r="M814" s="14">
        <v>210.51925234687127</v>
      </c>
    </row>
    <row r="815" ht="14.25" customHeight="1">
      <c r="A815" s="15">
        <v>305.0</v>
      </c>
      <c r="B815" s="13" t="s">
        <v>69</v>
      </c>
      <c r="C815" s="9">
        <v>88.0</v>
      </c>
      <c r="D815" s="14">
        <v>57.0</v>
      </c>
      <c r="E815" s="14">
        <v>114.0</v>
      </c>
      <c r="F815" s="14">
        <v>123.0</v>
      </c>
      <c r="G815" s="14">
        <v>170.0</v>
      </c>
      <c r="H815" s="14">
        <v>106.20116606092652</v>
      </c>
      <c r="I815" s="14">
        <v>62.0</v>
      </c>
      <c r="J815" s="9">
        <v>111.0</v>
      </c>
      <c r="K815" s="14">
        <v>176.0</v>
      </c>
      <c r="L815" s="14">
        <v>210.0</v>
      </c>
      <c r="M815" s="14">
        <v>198.0</v>
      </c>
    </row>
    <row r="816" ht="14.25" customHeight="1">
      <c r="A816" s="15">
        <v>306.0</v>
      </c>
      <c r="B816" s="13" t="s">
        <v>69</v>
      </c>
      <c r="C816" s="9">
        <v>88.0</v>
      </c>
      <c r="D816" s="14">
        <v>58.0</v>
      </c>
      <c r="E816" s="14">
        <v>107.0</v>
      </c>
      <c r="F816" s="14">
        <v>121.4</v>
      </c>
      <c r="G816" s="14">
        <v>168.0</v>
      </c>
      <c r="H816" s="14">
        <v>106.0</v>
      </c>
      <c r="I816" s="14">
        <v>60.0</v>
      </c>
      <c r="J816" s="9">
        <v>111.0</v>
      </c>
      <c r="K816" s="14">
        <v>175.0</v>
      </c>
      <c r="L816" s="14">
        <v>223.0</v>
      </c>
      <c r="M816" s="14">
        <v>193.0</v>
      </c>
    </row>
    <row r="817" ht="14.25" customHeight="1">
      <c r="A817" s="15">
        <v>307.0</v>
      </c>
      <c r="B817" s="13" t="s">
        <v>69</v>
      </c>
      <c r="C817" s="9">
        <v>99.0</v>
      </c>
      <c r="D817" s="14">
        <v>60.0</v>
      </c>
      <c r="E817" s="14">
        <v>112.0</v>
      </c>
      <c r="F817" s="14">
        <v>132.0</v>
      </c>
      <c r="G817" s="14">
        <v>178.0</v>
      </c>
      <c r="H817" s="14">
        <v>109.0</v>
      </c>
      <c r="I817" s="14">
        <v>64.0</v>
      </c>
      <c r="J817" s="9">
        <v>115.0</v>
      </c>
      <c r="K817" s="14">
        <v>201.0</v>
      </c>
      <c r="L817" s="14">
        <v>234.0</v>
      </c>
      <c r="M817" s="14">
        <v>222.0</v>
      </c>
    </row>
    <row r="818" ht="14.25" customHeight="1">
      <c r="A818" s="15">
        <v>308.0</v>
      </c>
      <c r="B818" s="13" t="s">
        <v>69</v>
      </c>
      <c r="C818" s="9">
        <v>90.0</v>
      </c>
      <c r="D818" s="14">
        <v>57.5</v>
      </c>
      <c r="E818" s="14">
        <v>111.60143369749274</v>
      </c>
      <c r="F818" s="14">
        <v>121.0</v>
      </c>
      <c r="G818" s="14">
        <v>169.0</v>
      </c>
      <c r="H818" s="14">
        <v>104.0</v>
      </c>
      <c r="I818" s="14">
        <v>60.78427871980621</v>
      </c>
      <c r="J818" s="9">
        <v>109.73130616765961</v>
      </c>
      <c r="K818" s="14">
        <v>178.0</v>
      </c>
      <c r="L818" s="14">
        <v>222.0</v>
      </c>
      <c r="M818" s="14">
        <v>197.0</v>
      </c>
    </row>
    <row r="819" ht="14.25" customHeight="1">
      <c r="A819" s="15">
        <v>309.0</v>
      </c>
      <c r="B819" s="13" t="s">
        <v>69</v>
      </c>
      <c r="C819" s="9">
        <v>88.9</v>
      </c>
      <c r="D819" s="14">
        <v>58.07565669260872</v>
      </c>
      <c r="E819" s="14">
        <v>113.61307846934973</v>
      </c>
      <c r="F819" s="14">
        <v>121.9</v>
      </c>
      <c r="G819" s="14">
        <v>169.7</v>
      </c>
      <c r="H819" s="14">
        <v>104.7</v>
      </c>
      <c r="I819" s="14">
        <v>61.530505239946564</v>
      </c>
      <c r="J819" s="9">
        <v>111.98748673763832</v>
      </c>
      <c r="K819" s="14">
        <v>178.6</v>
      </c>
      <c r="L819" s="14">
        <v>212.2</v>
      </c>
      <c r="M819" s="14">
        <v>198.1</v>
      </c>
    </row>
    <row r="820" ht="14.25" customHeight="1">
      <c r="A820" s="15">
        <v>310.0</v>
      </c>
      <c r="B820" s="13" t="s">
        <v>69</v>
      </c>
      <c r="C820" s="9">
        <v>85.0</v>
      </c>
      <c r="D820" s="14">
        <v>53.0</v>
      </c>
      <c r="E820" s="14">
        <v>114.09352027988861</v>
      </c>
      <c r="F820" s="14">
        <v>121.0</v>
      </c>
      <c r="G820" s="14">
        <v>165.0</v>
      </c>
      <c r="H820" s="14">
        <v>101.0</v>
      </c>
      <c r="I820" s="14">
        <v>57.0</v>
      </c>
      <c r="J820" s="9">
        <v>103.0</v>
      </c>
      <c r="K820" s="14">
        <v>170.0</v>
      </c>
      <c r="L820" s="14">
        <v>201.0</v>
      </c>
      <c r="M820" s="14">
        <v>189.0</v>
      </c>
    </row>
    <row r="821" ht="14.25" customHeight="1">
      <c r="A821" s="15">
        <v>311.0</v>
      </c>
      <c r="B821" s="13" t="s">
        <v>69</v>
      </c>
      <c r="C821" s="9">
        <v>94.0</v>
      </c>
      <c r="D821" s="14">
        <v>63.74958917477807</v>
      </c>
      <c r="E821" s="14">
        <v>121.0</v>
      </c>
      <c r="F821" s="14">
        <v>133.0</v>
      </c>
      <c r="G821" s="14">
        <v>176.8</v>
      </c>
      <c r="H821" s="14">
        <v>110.5</v>
      </c>
      <c r="I821" s="14">
        <v>66.8</v>
      </c>
      <c r="J821" s="9">
        <v>118.0</v>
      </c>
      <c r="K821" s="14">
        <v>199.1</v>
      </c>
      <c r="L821" s="14">
        <v>230.9</v>
      </c>
      <c r="M821" s="14">
        <v>218.0</v>
      </c>
    </row>
    <row r="822" ht="14.25" customHeight="1">
      <c r="A822" s="15">
        <v>312.0</v>
      </c>
      <c r="B822" s="13" t="s">
        <v>69</v>
      </c>
      <c r="C822" s="9">
        <v>99.0</v>
      </c>
      <c r="D822" s="14">
        <v>67.6</v>
      </c>
      <c r="E822" s="14">
        <v>120.0</v>
      </c>
      <c r="F822" s="14">
        <v>129.0</v>
      </c>
      <c r="G822" s="14">
        <v>174.0</v>
      </c>
      <c r="H822" s="14">
        <v>108.7</v>
      </c>
      <c r="I822" s="14">
        <v>65.0</v>
      </c>
      <c r="J822" s="9">
        <v>122.0</v>
      </c>
      <c r="K822" s="14">
        <v>195.0</v>
      </c>
      <c r="L822" s="14">
        <v>227.0</v>
      </c>
      <c r="M822" s="14">
        <v>215.0</v>
      </c>
    </row>
    <row r="823" ht="14.25" customHeight="1">
      <c r="A823" s="15">
        <v>313.0</v>
      </c>
      <c r="B823" s="13" t="s">
        <v>69</v>
      </c>
      <c r="C823" s="9">
        <v>85.0</v>
      </c>
      <c r="D823" s="14">
        <v>56.5</v>
      </c>
      <c r="E823" s="14">
        <v>120.0</v>
      </c>
      <c r="F823" s="14">
        <v>129.0</v>
      </c>
      <c r="G823" s="14">
        <v>161.0</v>
      </c>
      <c r="H823" s="14">
        <v>108.0</v>
      </c>
      <c r="I823" s="14">
        <v>64.0</v>
      </c>
      <c r="J823" s="9">
        <v>113.4</v>
      </c>
      <c r="K823" s="14">
        <v>188.0</v>
      </c>
      <c r="L823" s="14">
        <v>220.0</v>
      </c>
      <c r="M823" s="14">
        <v>210.0</v>
      </c>
    </row>
    <row r="824" ht="14.25" customHeight="1">
      <c r="A824" s="15">
        <v>314.0</v>
      </c>
      <c r="B824" s="13" t="s">
        <v>69</v>
      </c>
      <c r="C824" s="9">
        <v>88.0</v>
      </c>
      <c r="D824" s="14">
        <v>63.0</v>
      </c>
      <c r="E824" s="14">
        <v>126.0</v>
      </c>
      <c r="F824" s="14">
        <v>132.0</v>
      </c>
      <c r="G824" s="14">
        <v>173.0</v>
      </c>
      <c r="H824" s="14">
        <v>106.0</v>
      </c>
      <c r="I824" s="14">
        <v>60.0</v>
      </c>
      <c r="J824" s="9">
        <v>114.5965961024338</v>
      </c>
      <c r="K824" s="14">
        <v>192.0</v>
      </c>
      <c r="L824" s="14">
        <v>223.0</v>
      </c>
      <c r="M824" s="14">
        <v>212.0</v>
      </c>
    </row>
    <row r="825" ht="14.25" customHeight="1">
      <c r="A825" s="15">
        <v>315.0</v>
      </c>
      <c r="B825" s="13" t="s">
        <v>69</v>
      </c>
      <c r="C825" s="9">
        <v>94.0</v>
      </c>
      <c r="D825" s="14">
        <v>60.0</v>
      </c>
      <c r="E825" s="14">
        <v>116.6</v>
      </c>
      <c r="F825" s="14">
        <v>124.6</v>
      </c>
      <c r="G825" s="14">
        <v>169.0</v>
      </c>
      <c r="H825" s="14">
        <v>106.0</v>
      </c>
      <c r="I825" s="14">
        <v>62.4</v>
      </c>
      <c r="J825" s="9">
        <v>113.4</v>
      </c>
      <c r="K825" s="14">
        <v>185.0</v>
      </c>
      <c r="L825" s="14">
        <v>215.0</v>
      </c>
      <c r="M825" s="14">
        <v>205.0</v>
      </c>
    </row>
    <row r="826" ht="14.25" customHeight="1">
      <c r="A826" s="15">
        <v>316.0</v>
      </c>
      <c r="B826" s="13" t="s">
        <v>69</v>
      </c>
      <c r="C826" s="9">
        <v>89.0</v>
      </c>
      <c r="D826" s="14">
        <v>57.0</v>
      </c>
      <c r="E826" s="14">
        <v>119.0</v>
      </c>
      <c r="F826" s="14">
        <v>126.0</v>
      </c>
      <c r="G826" s="14">
        <v>167.0</v>
      </c>
      <c r="H826" s="14">
        <v>106.0</v>
      </c>
      <c r="I826" s="14">
        <v>60.27758416917737</v>
      </c>
      <c r="J826" s="9">
        <v>107.35086877687814</v>
      </c>
      <c r="K826" s="14">
        <v>180.0</v>
      </c>
      <c r="L826" s="14">
        <v>227.0</v>
      </c>
      <c r="M826" s="14">
        <v>197.0</v>
      </c>
    </row>
    <row r="827" ht="14.25" customHeight="1">
      <c r="A827" s="15">
        <v>317.0</v>
      </c>
      <c r="B827" s="13" t="s">
        <v>69</v>
      </c>
      <c r="C827" s="9">
        <v>93.0</v>
      </c>
      <c r="D827" s="14">
        <v>58.0</v>
      </c>
      <c r="E827" s="14">
        <v>114.50937077741314</v>
      </c>
      <c r="F827" s="14">
        <v>125.0</v>
      </c>
      <c r="G827" s="14">
        <v>170.0</v>
      </c>
      <c r="H827" s="14">
        <v>107.0</v>
      </c>
      <c r="I827" s="14">
        <v>62.0</v>
      </c>
      <c r="J827" s="9">
        <v>111.0</v>
      </c>
      <c r="K827" s="14">
        <v>175.0</v>
      </c>
      <c r="L827" s="14">
        <v>210.0</v>
      </c>
      <c r="M827" s="14">
        <v>200.0</v>
      </c>
    </row>
    <row r="828" ht="14.25" customHeight="1">
      <c r="A828" s="15">
        <v>318.0</v>
      </c>
      <c r="B828" s="13" t="s">
        <v>69</v>
      </c>
      <c r="C828" s="9">
        <v>85.0</v>
      </c>
      <c r="D828" s="14">
        <v>64.4</v>
      </c>
      <c r="E828" s="14">
        <v>119.3</v>
      </c>
      <c r="F828" s="14">
        <v>129.0</v>
      </c>
      <c r="G828" s="14">
        <v>171.0</v>
      </c>
      <c r="H828" s="14">
        <v>105.0</v>
      </c>
      <c r="I828" s="14">
        <v>63.8</v>
      </c>
      <c r="J828" s="9">
        <v>116.0</v>
      </c>
      <c r="K828" s="14">
        <v>189.0</v>
      </c>
      <c r="L828" s="14">
        <v>220.0</v>
      </c>
      <c r="M828" s="14">
        <v>202.0</v>
      </c>
    </row>
    <row r="829" ht="14.25" customHeight="1">
      <c r="A829" s="15">
        <v>319.0</v>
      </c>
      <c r="B829" s="13" t="s">
        <v>69</v>
      </c>
      <c r="C829" s="9">
        <v>90.43463322556616</v>
      </c>
      <c r="D829" s="14">
        <v>63.02369811923868</v>
      </c>
      <c r="E829" s="14">
        <v>127.8</v>
      </c>
      <c r="F829" s="14">
        <v>129.0</v>
      </c>
      <c r="G829" s="14">
        <v>171.2</v>
      </c>
      <c r="H829" s="14">
        <v>106.0</v>
      </c>
      <c r="I829" s="14">
        <v>62.3</v>
      </c>
      <c r="J829" s="9">
        <v>118.0</v>
      </c>
      <c r="K829" s="14">
        <v>191.2</v>
      </c>
      <c r="L829" s="14">
        <v>220.8</v>
      </c>
      <c r="M829" s="14">
        <v>210.0</v>
      </c>
    </row>
    <row r="830" ht="14.25" customHeight="1">
      <c r="A830" s="15">
        <v>320.0</v>
      </c>
      <c r="B830" s="13" t="s">
        <v>69</v>
      </c>
      <c r="C830" s="9">
        <v>90.50546747429662</v>
      </c>
      <c r="D830" s="14">
        <v>58.435869378068496</v>
      </c>
      <c r="E830" s="14">
        <v>123.4</v>
      </c>
      <c r="F830" s="14">
        <v>125.25745535876634</v>
      </c>
      <c r="G830" s="14">
        <v>170.8927021668492</v>
      </c>
      <c r="H830" s="14">
        <v>107.60871420423123</v>
      </c>
      <c r="I830" s="14">
        <v>63.3</v>
      </c>
      <c r="J830" s="9">
        <v>110.1</v>
      </c>
      <c r="K830" s="14">
        <v>178.3</v>
      </c>
      <c r="L830" s="14">
        <v>210.6</v>
      </c>
      <c r="M830" s="14">
        <v>197.6</v>
      </c>
    </row>
    <row r="831" ht="14.25" customHeight="1">
      <c r="A831" s="15">
        <v>321.0</v>
      </c>
      <c r="B831" s="13" t="s">
        <v>69</v>
      </c>
      <c r="C831" s="9">
        <v>95.59174278507462</v>
      </c>
      <c r="D831" s="14">
        <v>63.14928815465771</v>
      </c>
      <c r="E831" s="14">
        <v>123.16055276425543</v>
      </c>
      <c r="F831" s="14">
        <v>131.69333230940518</v>
      </c>
      <c r="G831" s="14">
        <v>176.82600348693435</v>
      </c>
      <c r="H831" s="14">
        <v>110.67789164533085</v>
      </c>
      <c r="I831" s="14">
        <v>64.01331018625775</v>
      </c>
      <c r="J831" s="9">
        <v>115.86173569195756</v>
      </c>
      <c r="K831" s="14">
        <v>195.5</v>
      </c>
      <c r="L831" s="14">
        <v>224.8</v>
      </c>
      <c r="M831" s="14">
        <v>213.3</v>
      </c>
    </row>
    <row r="832" ht="14.25" customHeight="1">
      <c r="A832" s="15">
        <v>322.0</v>
      </c>
      <c r="B832" s="13" t="s">
        <v>69</v>
      </c>
      <c r="C832" s="9">
        <v>97.04065233990502</v>
      </c>
      <c r="D832" s="14">
        <v>66.696409248676</v>
      </c>
      <c r="E832" s="14">
        <v>126.5</v>
      </c>
      <c r="F832" s="14">
        <v>134.2</v>
      </c>
      <c r="G832" s="14">
        <v>177.4</v>
      </c>
      <c r="H832" s="14">
        <v>119.0</v>
      </c>
      <c r="I832" s="14">
        <v>65.2</v>
      </c>
      <c r="J832" s="9">
        <v>119.7</v>
      </c>
      <c r="K832" s="14">
        <v>200.3</v>
      </c>
      <c r="L832" s="14">
        <v>230.3</v>
      </c>
      <c r="M832" s="14">
        <v>216.4</v>
      </c>
    </row>
    <row r="833" ht="14.25" customHeight="1">
      <c r="A833" s="15">
        <v>323.0</v>
      </c>
      <c r="B833" s="13" t="s">
        <v>69</v>
      </c>
      <c r="C833" s="9">
        <v>95.4</v>
      </c>
      <c r="D833" s="14">
        <v>64.9</v>
      </c>
      <c r="E833" s="14">
        <v>120.4</v>
      </c>
      <c r="F833" s="14">
        <v>134.0</v>
      </c>
      <c r="G833" s="14">
        <v>176.7583393630448</v>
      </c>
      <c r="H833" s="14">
        <v>110.74060706350669</v>
      </c>
      <c r="I833" s="14">
        <v>64.2</v>
      </c>
      <c r="J833" s="9">
        <v>123.2</v>
      </c>
      <c r="K833" s="14">
        <v>198.0</v>
      </c>
      <c r="L833" s="14">
        <v>226.16576895483865</v>
      </c>
      <c r="M833" s="14">
        <v>217.07597839002972</v>
      </c>
    </row>
    <row r="834" ht="14.25" customHeight="1">
      <c r="A834" s="15">
        <v>324.0</v>
      </c>
      <c r="B834" s="13" t="s">
        <v>69</v>
      </c>
      <c r="C834" s="9">
        <v>91.2</v>
      </c>
      <c r="D834" s="14">
        <v>58.2</v>
      </c>
      <c r="E834" s="14">
        <v>116.3</v>
      </c>
      <c r="F834" s="14">
        <v>124.8</v>
      </c>
      <c r="G834" s="14">
        <v>168.6</v>
      </c>
      <c r="H834" s="14">
        <v>105.7</v>
      </c>
      <c r="I834" s="14">
        <v>60.4</v>
      </c>
      <c r="J834" s="9">
        <v>112.2</v>
      </c>
      <c r="K834" s="14">
        <v>178.0</v>
      </c>
      <c r="L834" s="14">
        <v>205.0</v>
      </c>
      <c r="M834" s="14">
        <v>194.8</v>
      </c>
    </row>
    <row r="835" ht="14.25" customHeight="1">
      <c r="A835" s="15">
        <v>325.0</v>
      </c>
      <c r="B835" s="13" t="s">
        <v>69</v>
      </c>
      <c r="C835" s="9">
        <v>83.9</v>
      </c>
      <c r="D835" s="14">
        <v>55.5</v>
      </c>
      <c r="E835" s="14">
        <v>116.0</v>
      </c>
      <c r="F835" s="14">
        <v>119.7</v>
      </c>
      <c r="G835" s="14">
        <v>167.8</v>
      </c>
      <c r="H835" s="14">
        <v>104.4</v>
      </c>
      <c r="I835" s="14">
        <v>61.2</v>
      </c>
      <c r="J835" s="9">
        <v>112.4</v>
      </c>
      <c r="K835" s="14">
        <v>173.6</v>
      </c>
      <c r="L835" s="14">
        <v>204.5</v>
      </c>
      <c r="M835" s="14">
        <v>192.7</v>
      </c>
    </row>
    <row r="836" ht="14.25" customHeight="1">
      <c r="A836" s="15">
        <v>326.0</v>
      </c>
      <c r="B836" s="13" t="s">
        <v>69</v>
      </c>
      <c r="C836" s="9">
        <v>86.5</v>
      </c>
      <c r="D836" s="14">
        <v>57.1</v>
      </c>
      <c r="E836" s="14">
        <v>113.0</v>
      </c>
      <c r="F836" s="14">
        <v>122.0</v>
      </c>
      <c r="G836" s="14">
        <v>165.4</v>
      </c>
      <c r="H836" s="14">
        <v>103.6</v>
      </c>
      <c r="I836" s="14">
        <v>62.3</v>
      </c>
      <c r="J836" s="9">
        <v>113.6</v>
      </c>
      <c r="K836" s="14">
        <v>177.0</v>
      </c>
      <c r="L836" s="14">
        <v>208.4</v>
      </c>
      <c r="M836" s="14">
        <v>196.2</v>
      </c>
    </row>
    <row r="837" ht="14.25" customHeight="1">
      <c r="A837" s="15">
        <v>327.0</v>
      </c>
      <c r="B837" s="13" t="s">
        <v>69</v>
      </c>
      <c r="C837" s="9">
        <v>97.2</v>
      </c>
      <c r="D837" s="14">
        <v>61.2</v>
      </c>
      <c r="E837" s="14">
        <v>124.7</v>
      </c>
      <c r="F837" s="14">
        <v>131.6</v>
      </c>
      <c r="G837" s="14">
        <v>181.0</v>
      </c>
      <c r="H837" s="14">
        <v>112.9</v>
      </c>
      <c r="I837" s="14">
        <v>63.1</v>
      </c>
      <c r="J837" s="9">
        <v>112.6</v>
      </c>
      <c r="K837" s="14">
        <v>199.2</v>
      </c>
      <c r="L837" s="14">
        <v>228.9</v>
      </c>
      <c r="M837" s="14">
        <v>218.5</v>
      </c>
    </row>
    <row r="838" ht="14.25" customHeight="1">
      <c r="A838" s="15">
        <v>328.0</v>
      </c>
      <c r="B838" s="13" t="s">
        <v>69</v>
      </c>
      <c r="C838" s="9">
        <v>100.2</v>
      </c>
      <c r="D838" s="14">
        <v>64.8</v>
      </c>
      <c r="E838" s="14">
        <v>127.3</v>
      </c>
      <c r="F838" s="14">
        <v>134.3</v>
      </c>
      <c r="G838" s="14">
        <v>184.9</v>
      </c>
      <c r="H838" s="14">
        <v>111.8</v>
      </c>
      <c r="I838" s="14">
        <v>65.8</v>
      </c>
      <c r="J838" s="9">
        <v>116.9</v>
      </c>
      <c r="K838" s="14">
        <v>199.9</v>
      </c>
      <c r="L838" s="14">
        <v>230.1</v>
      </c>
      <c r="M838" s="14">
        <v>220.2</v>
      </c>
    </row>
    <row r="839" ht="14.25" customHeight="1">
      <c r="A839" s="15">
        <v>329.0</v>
      </c>
      <c r="B839" s="13" t="s">
        <v>69</v>
      </c>
      <c r="C839" s="9">
        <v>94.2</v>
      </c>
      <c r="D839" s="14">
        <v>60.0</v>
      </c>
      <c r="E839" s="14">
        <v>115.2</v>
      </c>
      <c r="F839" s="14">
        <v>125.7</v>
      </c>
      <c r="G839" s="14">
        <v>174.0</v>
      </c>
      <c r="H839" s="14">
        <v>108.8</v>
      </c>
      <c r="I839" s="14">
        <v>64.1</v>
      </c>
      <c r="J839" s="9">
        <v>119.5</v>
      </c>
      <c r="K839" s="14">
        <v>181.6</v>
      </c>
      <c r="L839" s="14">
        <v>214.0</v>
      </c>
      <c r="M839" s="14">
        <v>203.2</v>
      </c>
    </row>
    <row r="840" ht="14.25" customHeight="1">
      <c r="A840" s="15">
        <v>330.0</v>
      </c>
      <c r="B840" s="13" t="s">
        <v>69</v>
      </c>
      <c r="C840" s="9">
        <v>82.5</v>
      </c>
      <c r="D840" s="14">
        <v>59.6</v>
      </c>
      <c r="E840" s="14">
        <v>110.8</v>
      </c>
      <c r="F840" s="14">
        <v>119.3</v>
      </c>
      <c r="G840" s="14">
        <v>164.3</v>
      </c>
      <c r="H840" s="14">
        <v>106.1</v>
      </c>
      <c r="I840" s="14">
        <v>60.9</v>
      </c>
      <c r="J840" s="9">
        <v>112.2</v>
      </c>
      <c r="K840" s="14">
        <v>171.7</v>
      </c>
      <c r="L840" s="14">
        <v>209.7</v>
      </c>
      <c r="M840" s="14">
        <v>196.9</v>
      </c>
    </row>
    <row r="841" ht="14.25" customHeight="1">
      <c r="A841" s="15">
        <v>331.0</v>
      </c>
      <c r="B841" s="13" t="s">
        <v>69</v>
      </c>
      <c r="C841" s="9">
        <v>99.9</v>
      </c>
      <c r="D841" s="14">
        <v>66.5</v>
      </c>
      <c r="E841" s="14">
        <v>126.3</v>
      </c>
      <c r="F841" s="14">
        <v>134.4</v>
      </c>
      <c r="G841" s="14">
        <v>183.9</v>
      </c>
      <c r="H841" s="14">
        <v>121.4</v>
      </c>
      <c r="I841" s="14">
        <v>62.5</v>
      </c>
      <c r="J841" s="9">
        <v>112.9</v>
      </c>
      <c r="K841" s="14">
        <v>200.3</v>
      </c>
      <c r="L841" s="14">
        <v>235.86728705471631</v>
      </c>
      <c r="M841" s="14">
        <v>218.12650982984132</v>
      </c>
    </row>
    <row r="842" ht="14.25" customHeight="1">
      <c r="A842" s="15">
        <v>332.0</v>
      </c>
      <c r="B842" s="13" t="s">
        <v>69</v>
      </c>
      <c r="C842" s="9">
        <v>91.2</v>
      </c>
      <c r="D842" s="14">
        <v>58.2</v>
      </c>
      <c r="E842" s="14">
        <v>116.3</v>
      </c>
      <c r="F842" s="14">
        <v>124.8</v>
      </c>
      <c r="G842" s="14">
        <v>168.6</v>
      </c>
      <c r="H842" s="14">
        <v>105.7</v>
      </c>
      <c r="I842" s="14">
        <v>60.4</v>
      </c>
      <c r="J842" s="9">
        <v>112.2</v>
      </c>
      <c r="K842" s="14">
        <v>178.0</v>
      </c>
      <c r="L842" s="14">
        <v>205.0</v>
      </c>
      <c r="M842" s="14">
        <v>194.8</v>
      </c>
    </row>
    <row r="843" ht="14.25" customHeight="1">
      <c r="A843" s="15">
        <v>333.0</v>
      </c>
      <c r="B843" s="13" t="s">
        <v>69</v>
      </c>
      <c r="C843" s="9">
        <v>83.9</v>
      </c>
      <c r="D843" s="14">
        <v>55.5</v>
      </c>
      <c r="E843" s="14">
        <v>116.0</v>
      </c>
      <c r="F843" s="14">
        <v>119.7</v>
      </c>
      <c r="G843" s="14">
        <v>167.8</v>
      </c>
      <c r="H843" s="14">
        <v>104.4</v>
      </c>
      <c r="I843" s="14">
        <v>61.2</v>
      </c>
      <c r="J843" s="9">
        <v>112.4</v>
      </c>
      <c r="K843" s="14">
        <v>173.6</v>
      </c>
      <c r="L843" s="14">
        <v>204.5</v>
      </c>
      <c r="M843" s="14">
        <v>192.7</v>
      </c>
    </row>
    <row r="844" ht="14.25" customHeight="1">
      <c r="A844" s="15">
        <v>334.0</v>
      </c>
      <c r="B844" s="13" t="s">
        <v>69</v>
      </c>
      <c r="C844" s="9">
        <v>86.5</v>
      </c>
      <c r="D844" s="14">
        <v>57.1</v>
      </c>
      <c r="E844" s="14">
        <v>113.0</v>
      </c>
      <c r="F844" s="14">
        <v>122.0</v>
      </c>
      <c r="G844" s="14">
        <v>165.4</v>
      </c>
      <c r="H844" s="14">
        <v>103.6</v>
      </c>
      <c r="I844" s="14">
        <v>62.3</v>
      </c>
      <c r="J844" s="9">
        <v>112.6</v>
      </c>
      <c r="K844" s="14">
        <v>177.0</v>
      </c>
      <c r="L844" s="14">
        <v>208.4</v>
      </c>
      <c r="M844" s="14">
        <v>196.2</v>
      </c>
    </row>
    <row r="845" ht="14.25" customHeight="1">
      <c r="A845" s="15">
        <v>335.0</v>
      </c>
      <c r="B845" s="13" t="s">
        <v>69</v>
      </c>
      <c r="C845" s="9">
        <v>97.2</v>
      </c>
      <c r="D845" s="14">
        <v>61.2</v>
      </c>
      <c r="E845" s="14">
        <v>124.7</v>
      </c>
      <c r="F845" s="14">
        <v>131.6</v>
      </c>
      <c r="G845" s="14">
        <v>181.0</v>
      </c>
      <c r="H845" s="14">
        <v>112.9</v>
      </c>
      <c r="I845" s="14">
        <v>63.1</v>
      </c>
      <c r="J845" s="9">
        <v>112.6</v>
      </c>
      <c r="K845" s="14">
        <v>199.2</v>
      </c>
      <c r="L845" s="14">
        <v>228.9</v>
      </c>
      <c r="M845" s="14">
        <v>218.5</v>
      </c>
    </row>
    <row r="846" ht="14.25" customHeight="1">
      <c r="A846" s="15">
        <v>336.0</v>
      </c>
      <c r="B846" s="13" t="s">
        <v>69</v>
      </c>
      <c r="C846" s="9">
        <v>100.2</v>
      </c>
      <c r="D846" s="14">
        <v>64.8</v>
      </c>
      <c r="E846" s="14">
        <v>127.3</v>
      </c>
      <c r="F846" s="14">
        <v>134.3</v>
      </c>
      <c r="G846" s="14">
        <v>184.9</v>
      </c>
      <c r="H846" s="14">
        <v>111.8</v>
      </c>
      <c r="I846" s="14">
        <v>65.8</v>
      </c>
      <c r="J846" s="9">
        <v>116.9</v>
      </c>
      <c r="K846" s="14">
        <v>199.9</v>
      </c>
      <c r="L846" s="14">
        <v>230.1</v>
      </c>
      <c r="M846" s="14">
        <v>220.2</v>
      </c>
    </row>
    <row r="847" ht="14.25" customHeight="1">
      <c r="A847" s="15">
        <v>337.0</v>
      </c>
      <c r="B847" s="13" t="s">
        <v>69</v>
      </c>
      <c r="C847" s="9">
        <v>94.4</v>
      </c>
      <c r="D847" s="14">
        <v>59.4</v>
      </c>
      <c r="E847" s="14">
        <v>114.2</v>
      </c>
      <c r="F847" s="14">
        <v>122.0</v>
      </c>
      <c r="G847" s="14">
        <v>171.4</v>
      </c>
      <c r="H847" s="14">
        <v>108.3</v>
      </c>
      <c r="I847" s="14">
        <v>63.3</v>
      </c>
      <c r="J847" s="9">
        <v>110.0</v>
      </c>
      <c r="K847" s="14">
        <v>179.3</v>
      </c>
      <c r="L847" s="14">
        <v>211.0</v>
      </c>
      <c r="M847" s="14">
        <v>201.0</v>
      </c>
    </row>
    <row r="848" ht="14.25" customHeight="1">
      <c r="A848" s="15">
        <v>338.0</v>
      </c>
      <c r="B848" s="13" t="s">
        <v>69</v>
      </c>
      <c r="C848" s="9">
        <v>88.0</v>
      </c>
      <c r="D848" s="14">
        <v>56.9</v>
      </c>
      <c r="E848" s="14">
        <v>110.1</v>
      </c>
      <c r="F848" s="14">
        <v>126.0</v>
      </c>
      <c r="G848" s="14">
        <v>171.4</v>
      </c>
      <c r="H848" s="14">
        <v>108.9</v>
      </c>
      <c r="I848" s="14">
        <v>63.8</v>
      </c>
      <c r="J848" s="9">
        <v>112.5</v>
      </c>
      <c r="K848" s="14">
        <v>177.8</v>
      </c>
      <c r="L848" s="14">
        <v>203.8</v>
      </c>
      <c r="M848" s="14">
        <v>200.9</v>
      </c>
    </row>
    <row r="849" ht="14.25" customHeight="1">
      <c r="A849" s="15">
        <v>339.0</v>
      </c>
      <c r="B849" s="13" t="s">
        <v>69</v>
      </c>
      <c r="C849" s="9">
        <v>93.3</v>
      </c>
      <c r="D849" s="14">
        <v>62.3</v>
      </c>
      <c r="E849" s="14">
        <v>116.3</v>
      </c>
      <c r="F849" s="14">
        <v>130.8</v>
      </c>
      <c r="G849" s="14">
        <v>173.9</v>
      </c>
      <c r="H849" s="14">
        <v>108.3</v>
      </c>
      <c r="I849" s="14">
        <v>64.1</v>
      </c>
      <c r="J849" s="9">
        <v>113.0</v>
      </c>
      <c r="K849" s="14">
        <v>192.0</v>
      </c>
      <c r="L849" s="14">
        <v>219.7</v>
      </c>
      <c r="M849" s="14">
        <v>208.1</v>
      </c>
    </row>
    <row r="850" ht="14.25" customHeight="1">
      <c r="A850" s="15">
        <v>340.0</v>
      </c>
      <c r="B850" s="13" t="s">
        <v>69</v>
      </c>
      <c r="C850" s="9">
        <v>106.5</v>
      </c>
      <c r="D850" s="14">
        <v>63.8</v>
      </c>
      <c r="E850" s="14">
        <v>125.8</v>
      </c>
      <c r="F850" s="14">
        <v>132.7</v>
      </c>
      <c r="G850" s="14">
        <v>179.0</v>
      </c>
      <c r="H850" s="14">
        <v>112.1</v>
      </c>
      <c r="I850" s="14">
        <v>66.2</v>
      </c>
      <c r="J850" s="9">
        <v>113.8</v>
      </c>
      <c r="K850" s="14">
        <v>202.5</v>
      </c>
      <c r="L850" s="14">
        <v>234.5</v>
      </c>
      <c r="M850" s="14">
        <v>220.2</v>
      </c>
    </row>
    <row r="851" ht="14.25" customHeight="1">
      <c r="A851" s="15">
        <v>341.0</v>
      </c>
      <c r="B851" s="13" t="s">
        <v>69</v>
      </c>
      <c r="C851" s="9">
        <v>97.7</v>
      </c>
      <c r="D851" s="14">
        <v>61.9</v>
      </c>
      <c r="E851" s="14">
        <v>128.1</v>
      </c>
      <c r="F851" s="14">
        <v>135.7</v>
      </c>
      <c r="G851" s="14">
        <v>179.4</v>
      </c>
      <c r="H851" s="14">
        <v>111.4</v>
      </c>
      <c r="I851" s="14">
        <v>62.9</v>
      </c>
      <c r="J851" s="9">
        <v>109.8</v>
      </c>
      <c r="K851" s="14">
        <v>190.5</v>
      </c>
      <c r="L851" s="14">
        <v>225.1</v>
      </c>
      <c r="M851" s="14">
        <v>203.5</v>
      </c>
    </row>
    <row r="852" ht="14.25" customHeight="1">
      <c r="A852" s="15">
        <v>342.0</v>
      </c>
      <c r="B852" s="13" t="s">
        <v>69</v>
      </c>
      <c r="C852" s="9">
        <v>86.8</v>
      </c>
      <c r="D852" s="14">
        <v>58.4</v>
      </c>
      <c r="E852" s="14">
        <v>111.1</v>
      </c>
      <c r="F852" s="14">
        <v>121.8</v>
      </c>
      <c r="G852" s="14">
        <v>167.8</v>
      </c>
      <c r="H852" s="14">
        <v>104.0</v>
      </c>
      <c r="I852" s="14">
        <v>60.7</v>
      </c>
      <c r="J852" s="9">
        <v>112.0</v>
      </c>
      <c r="K852" s="14">
        <v>177.6</v>
      </c>
      <c r="L852" s="14">
        <v>208.2</v>
      </c>
      <c r="M852" s="14">
        <v>197.7</v>
      </c>
    </row>
    <row r="853" ht="14.25" customHeight="1"/>
    <row r="854" ht="14.25" customHeight="1">
      <c r="K854" s="14"/>
      <c r="L854" s="14"/>
      <c r="M854" s="14"/>
    </row>
    <row r="855" ht="14.25" customHeight="1">
      <c r="K855" s="14"/>
      <c r="L855" s="14"/>
      <c r="M855" s="14"/>
    </row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852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2019-10-18T15:35:24Z</dcterms:created>
  <dc:creator>34609</dc:creator>
</cp:coreProperties>
</file>